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workspace\TaxUSA\sample\"/>
    </mc:Choice>
  </mc:AlternateContent>
  <bookViews>
    <workbookView xWindow="0" yWindow="0" windowWidth="28800" windowHeight="12473" tabRatio="802" activeTab="1"/>
  </bookViews>
  <sheets>
    <sheet name="00_填写说明" sheetId="1" r:id="rId1"/>
    <sheet name="01_产品基本信息" sheetId="2" r:id="rId2"/>
    <sheet name="02_制造商信息" sheetId="3" r:id="rId3"/>
    <sheet name="03_实验室与测试报告" sheetId="4" r:id="rId4"/>
    <sheet name="04_联系人POC" sheetId="5" r:id="rId5"/>
    <sheet name="05_法规豁免" sheetId="6" r:id="rId6"/>
    <sheet name="06_字段字典_设定提示" sheetId="7" r:id="rId7"/>
    <sheet name="07_下拉选项" sheetId="8" r:id="rId8"/>
    <sheet name="08_错误码速查" sheetId="9" r:id="rId9"/>
    <sheet name="09_JSON映射" sheetId="10" r:id="rId10"/>
  </sheets>
  <calcPr calcId="162913"/>
</workbook>
</file>

<file path=xl/calcChain.xml><?xml version="1.0" encoding="utf-8"?>
<calcChain xmlns="http://schemas.openxmlformats.org/spreadsheetml/2006/main">
  <c r="AD7" i="2" l="1"/>
  <c r="E205" i="6"/>
  <c r="E204" i="6"/>
  <c r="E203" i="6"/>
  <c r="E202" i="6"/>
  <c r="E201" i="6"/>
  <c r="E200" i="6"/>
  <c r="E199" i="6"/>
  <c r="E198" i="6"/>
  <c r="E197" i="6"/>
  <c r="E196" i="6"/>
  <c r="E195" i="6"/>
  <c r="E194" i="6"/>
  <c r="E193" i="6"/>
  <c r="E192" i="6"/>
  <c r="E191" i="6"/>
  <c r="E190" i="6"/>
  <c r="E189" i="6"/>
  <c r="E188" i="6"/>
  <c r="E187" i="6"/>
  <c r="E186" i="6"/>
  <c r="E185" i="6"/>
  <c r="E184" i="6"/>
  <c r="E183" i="6"/>
  <c r="E182" i="6"/>
  <c r="E181" i="6"/>
  <c r="E180" i="6"/>
  <c r="E179" i="6"/>
  <c r="E178" i="6"/>
  <c r="E177" i="6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E153" i="6"/>
  <c r="E152" i="6"/>
  <c r="E151" i="6"/>
  <c r="E150" i="6"/>
  <c r="E149" i="6"/>
  <c r="E148" i="6"/>
  <c r="E147" i="6"/>
  <c r="E146" i="6"/>
  <c r="E145" i="6"/>
  <c r="E144" i="6"/>
  <c r="E143" i="6"/>
  <c r="E142" i="6"/>
  <c r="E141" i="6"/>
  <c r="E140" i="6"/>
  <c r="E139" i="6"/>
  <c r="E138" i="6"/>
  <c r="E137" i="6"/>
  <c r="E136" i="6"/>
  <c r="E135" i="6"/>
  <c r="E134" i="6"/>
  <c r="E133" i="6"/>
  <c r="E132" i="6"/>
  <c r="E131" i="6"/>
  <c r="E130" i="6"/>
  <c r="E129" i="6"/>
  <c r="E128" i="6"/>
  <c r="E127" i="6"/>
  <c r="E126" i="6"/>
  <c r="E125" i="6"/>
  <c r="E124" i="6"/>
  <c r="E123" i="6"/>
  <c r="E122" i="6"/>
  <c r="E121" i="6"/>
  <c r="E120" i="6"/>
  <c r="E119" i="6"/>
  <c r="E118" i="6"/>
  <c r="E117" i="6"/>
  <c r="E116" i="6"/>
  <c r="E115" i="6"/>
  <c r="E114" i="6"/>
  <c r="E113" i="6"/>
  <c r="E112" i="6"/>
  <c r="E111" i="6"/>
  <c r="E110" i="6"/>
  <c r="E109" i="6"/>
  <c r="E108" i="6"/>
  <c r="E107" i="6"/>
  <c r="E106" i="6"/>
  <c r="E105" i="6"/>
  <c r="E104" i="6"/>
  <c r="E103" i="6"/>
  <c r="E102" i="6"/>
  <c r="E101" i="6"/>
  <c r="E100" i="6"/>
  <c r="E99" i="6"/>
  <c r="E98" i="6"/>
  <c r="E97" i="6"/>
  <c r="E96" i="6"/>
  <c r="E95" i="6"/>
  <c r="E94" i="6"/>
  <c r="E93" i="6"/>
  <c r="E92" i="6"/>
  <c r="E91" i="6"/>
  <c r="E90" i="6"/>
  <c r="E89" i="6"/>
  <c r="E88" i="6"/>
  <c r="E87" i="6"/>
  <c r="E86" i="6"/>
  <c r="E85" i="6"/>
  <c r="E84" i="6"/>
  <c r="E83" i="6"/>
  <c r="E82" i="6"/>
  <c r="E81" i="6"/>
  <c r="E80" i="6"/>
  <c r="E79" i="6"/>
  <c r="E78" i="6"/>
  <c r="E77" i="6"/>
  <c r="E76" i="6"/>
  <c r="E75" i="6"/>
  <c r="E74" i="6"/>
  <c r="E73" i="6"/>
  <c r="E72" i="6"/>
  <c r="E71" i="6"/>
  <c r="E70" i="6"/>
  <c r="E69" i="6"/>
  <c r="E68" i="6"/>
  <c r="E67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P205" i="5"/>
  <c r="P204" i="5"/>
  <c r="P203" i="5"/>
  <c r="P202" i="5"/>
  <c r="P201" i="5"/>
  <c r="P200" i="5"/>
  <c r="P199" i="5"/>
  <c r="P198" i="5"/>
  <c r="P197" i="5"/>
  <c r="P196" i="5"/>
  <c r="P195" i="5"/>
  <c r="P194" i="5"/>
  <c r="P193" i="5"/>
  <c r="P192" i="5"/>
  <c r="P191" i="5"/>
  <c r="P190" i="5"/>
  <c r="P189" i="5"/>
  <c r="P188" i="5"/>
  <c r="P187" i="5"/>
  <c r="P186" i="5"/>
  <c r="P185" i="5"/>
  <c r="P184" i="5"/>
  <c r="P183" i="5"/>
  <c r="P182" i="5"/>
  <c r="P181" i="5"/>
  <c r="P180" i="5"/>
  <c r="P179" i="5"/>
  <c r="P178" i="5"/>
  <c r="P177" i="5"/>
  <c r="P176" i="5"/>
  <c r="P175" i="5"/>
  <c r="P174" i="5"/>
  <c r="P173" i="5"/>
  <c r="P172" i="5"/>
  <c r="P171" i="5"/>
  <c r="P170" i="5"/>
  <c r="P169" i="5"/>
  <c r="P168" i="5"/>
  <c r="P167" i="5"/>
  <c r="P166" i="5"/>
  <c r="P165" i="5"/>
  <c r="P164" i="5"/>
  <c r="P163" i="5"/>
  <c r="P162" i="5"/>
  <c r="P161" i="5"/>
  <c r="P160" i="5"/>
  <c r="P159" i="5"/>
  <c r="P158" i="5"/>
  <c r="P157" i="5"/>
  <c r="P156" i="5"/>
  <c r="P155" i="5"/>
  <c r="P154" i="5"/>
  <c r="P153" i="5"/>
  <c r="P152" i="5"/>
  <c r="P151" i="5"/>
  <c r="P150" i="5"/>
  <c r="P149" i="5"/>
  <c r="P148" i="5"/>
  <c r="P147" i="5"/>
  <c r="P146" i="5"/>
  <c r="P145" i="5"/>
  <c r="P144" i="5"/>
  <c r="P143" i="5"/>
  <c r="P142" i="5"/>
  <c r="P141" i="5"/>
  <c r="P140" i="5"/>
  <c r="P139" i="5"/>
  <c r="P138" i="5"/>
  <c r="P137" i="5"/>
  <c r="P136" i="5"/>
  <c r="P135" i="5"/>
  <c r="P134" i="5"/>
  <c r="P133" i="5"/>
  <c r="P132" i="5"/>
  <c r="P131" i="5"/>
  <c r="P130" i="5"/>
  <c r="P129" i="5"/>
  <c r="P128" i="5"/>
  <c r="P127" i="5"/>
  <c r="P126" i="5"/>
  <c r="P125" i="5"/>
  <c r="P124" i="5"/>
  <c r="P123" i="5"/>
  <c r="P122" i="5"/>
  <c r="P121" i="5"/>
  <c r="P120" i="5"/>
  <c r="P119" i="5"/>
  <c r="P118" i="5"/>
  <c r="P117" i="5"/>
  <c r="P116" i="5"/>
  <c r="P115" i="5"/>
  <c r="P114" i="5"/>
  <c r="P113" i="5"/>
  <c r="P112" i="5"/>
  <c r="P111" i="5"/>
  <c r="P110" i="5"/>
  <c r="P109" i="5"/>
  <c r="P108" i="5"/>
  <c r="P107" i="5"/>
  <c r="P106" i="5"/>
  <c r="P105" i="5"/>
  <c r="P104" i="5"/>
  <c r="P103" i="5"/>
  <c r="P102" i="5"/>
  <c r="P101" i="5"/>
  <c r="P100" i="5"/>
  <c r="P99" i="5"/>
  <c r="P98" i="5"/>
  <c r="P97" i="5"/>
  <c r="P96" i="5"/>
  <c r="P95" i="5"/>
  <c r="P94" i="5"/>
  <c r="P93" i="5"/>
  <c r="P92" i="5"/>
  <c r="P91" i="5"/>
  <c r="P90" i="5"/>
  <c r="P89" i="5"/>
  <c r="P88" i="5"/>
  <c r="P87" i="5"/>
  <c r="P86" i="5"/>
  <c r="P85" i="5"/>
  <c r="P84" i="5"/>
  <c r="P83" i="5"/>
  <c r="P82" i="5"/>
  <c r="P81" i="5"/>
  <c r="P80" i="5"/>
  <c r="P79" i="5"/>
  <c r="P78" i="5"/>
  <c r="P77" i="5"/>
  <c r="P76" i="5"/>
  <c r="P75" i="5"/>
  <c r="P74" i="5"/>
  <c r="P73" i="5"/>
  <c r="P72" i="5"/>
  <c r="P71" i="5"/>
  <c r="P70" i="5"/>
  <c r="P69" i="5"/>
  <c r="P68" i="5"/>
  <c r="P67" i="5"/>
  <c r="P66" i="5"/>
  <c r="P65" i="5"/>
  <c r="P64" i="5"/>
  <c r="P63" i="5"/>
  <c r="P62" i="5"/>
  <c r="P61" i="5"/>
  <c r="P60" i="5"/>
  <c r="P59" i="5"/>
  <c r="P58" i="5"/>
  <c r="P57" i="5"/>
  <c r="P56" i="5"/>
  <c r="P55" i="5"/>
  <c r="P54" i="5"/>
  <c r="P53" i="5"/>
  <c r="P52" i="5"/>
  <c r="P51" i="5"/>
  <c r="P50" i="5"/>
  <c r="P49" i="5"/>
  <c r="P48" i="5"/>
  <c r="P47" i="5"/>
  <c r="P46" i="5"/>
  <c r="P45" i="5"/>
  <c r="P44" i="5"/>
  <c r="P43" i="5"/>
  <c r="P42" i="5"/>
  <c r="P41" i="5"/>
  <c r="P40" i="5"/>
  <c r="P39" i="5"/>
  <c r="P38" i="5"/>
  <c r="P37" i="5"/>
  <c r="P36" i="5"/>
  <c r="P35" i="5"/>
  <c r="P34" i="5"/>
  <c r="P33" i="5"/>
  <c r="P32" i="5"/>
  <c r="P31" i="5"/>
  <c r="P30" i="5"/>
  <c r="P29" i="5"/>
  <c r="P28" i="5"/>
  <c r="P27" i="5"/>
  <c r="P26" i="5"/>
  <c r="P25" i="5"/>
  <c r="P24" i="5"/>
  <c r="P23" i="5"/>
  <c r="P22" i="5"/>
  <c r="P21" i="5"/>
  <c r="P20" i="5"/>
  <c r="P19" i="5"/>
  <c r="P18" i="5"/>
  <c r="P17" i="5"/>
  <c r="P16" i="5"/>
  <c r="P15" i="5"/>
  <c r="P14" i="5"/>
  <c r="P13" i="5"/>
  <c r="P12" i="5"/>
  <c r="P11" i="5"/>
  <c r="P10" i="5"/>
  <c r="P9" i="5"/>
  <c r="P8" i="5"/>
  <c r="P7" i="5"/>
  <c r="P6" i="5"/>
  <c r="X205" i="4"/>
  <c r="X204" i="4"/>
  <c r="X203" i="4"/>
  <c r="X202" i="4"/>
  <c r="X201" i="4"/>
  <c r="X200" i="4"/>
  <c r="X199" i="4"/>
  <c r="X198" i="4"/>
  <c r="X197" i="4"/>
  <c r="X196" i="4"/>
  <c r="X195" i="4"/>
  <c r="X194" i="4"/>
  <c r="X193" i="4"/>
  <c r="X192" i="4"/>
  <c r="X191" i="4"/>
  <c r="X190" i="4"/>
  <c r="X189" i="4"/>
  <c r="X188" i="4"/>
  <c r="X187" i="4"/>
  <c r="X186" i="4"/>
  <c r="X185" i="4"/>
  <c r="X184" i="4"/>
  <c r="X183" i="4"/>
  <c r="X182" i="4"/>
  <c r="X181" i="4"/>
  <c r="X180" i="4"/>
  <c r="X179" i="4"/>
  <c r="X178" i="4"/>
  <c r="X177" i="4"/>
  <c r="X176" i="4"/>
  <c r="X175" i="4"/>
  <c r="X174" i="4"/>
  <c r="X173" i="4"/>
  <c r="X172" i="4"/>
  <c r="X171" i="4"/>
  <c r="X170" i="4"/>
  <c r="X169" i="4"/>
  <c r="X168" i="4"/>
  <c r="X167" i="4"/>
  <c r="X166" i="4"/>
  <c r="X165" i="4"/>
  <c r="X164" i="4"/>
  <c r="X163" i="4"/>
  <c r="X162" i="4"/>
  <c r="X161" i="4"/>
  <c r="X160" i="4"/>
  <c r="X159" i="4"/>
  <c r="X158" i="4"/>
  <c r="X157" i="4"/>
  <c r="X156" i="4"/>
  <c r="X155" i="4"/>
  <c r="X154" i="4"/>
  <c r="X153" i="4"/>
  <c r="X152" i="4"/>
  <c r="X151" i="4"/>
  <c r="X150" i="4"/>
  <c r="X149" i="4"/>
  <c r="X148" i="4"/>
  <c r="X147" i="4"/>
  <c r="X146" i="4"/>
  <c r="X145" i="4"/>
  <c r="X144" i="4"/>
  <c r="X143" i="4"/>
  <c r="X142" i="4"/>
  <c r="X141" i="4"/>
  <c r="X140" i="4"/>
  <c r="X139" i="4"/>
  <c r="X138" i="4"/>
  <c r="X137" i="4"/>
  <c r="X136" i="4"/>
  <c r="X135" i="4"/>
  <c r="X134" i="4"/>
  <c r="X133" i="4"/>
  <c r="X132" i="4"/>
  <c r="X131" i="4"/>
  <c r="X130" i="4"/>
  <c r="X129" i="4"/>
  <c r="X128" i="4"/>
  <c r="X127" i="4"/>
  <c r="X126" i="4"/>
  <c r="X125" i="4"/>
  <c r="X124" i="4"/>
  <c r="X123" i="4"/>
  <c r="X122" i="4"/>
  <c r="X121" i="4"/>
  <c r="X120" i="4"/>
  <c r="X119" i="4"/>
  <c r="X118" i="4"/>
  <c r="X117" i="4"/>
  <c r="X116" i="4"/>
  <c r="X115" i="4"/>
  <c r="X114" i="4"/>
  <c r="X113" i="4"/>
  <c r="X112" i="4"/>
  <c r="X111" i="4"/>
  <c r="X110" i="4"/>
  <c r="X109" i="4"/>
  <c r="X108" i="4"/>
  <c r="X107" i="4"/>
  <c r="X106" i="4"/>
  <c r="X105" i="4"/>
  <c r="X104" i="4"/>
  <c r="X103" i="4"/>
  <c r="X102" i="4"/>
  <c r="X101" i="4"/>
  <c r="X100" i="4"/>
  <c r="X99" i="4"/>
  <c r="X98" i="4"/>
  <c r="X97" i="4"/>
  <c r="X96" i="4"/>
  <c r="X95" i="4"/>
  <c r="X94" i="4"/>
  <c r="X93" i="4"/>
  <c r="X92" i="4"/>
  <c r="X91" i="4"/>
  <c r="X90" i="4"/>
  <c r="X89" i="4"/>
  <c r="X88" i="4"/>
  <c r="X87" i="4"/>
  <c r="X86" i="4"/>
  <c r="X85" i="4"/>
  <c r="X84" i="4"/>
  <c r="X83" i="4"/>
  <c r="X82" i="4"/>
  <c r="X81" i="4"/>
  <c r="X80" i="4"/>
  <c r="X79" i="4"/>
  <c r="X78" i="4"/>
  <c r="X77" i="4"/>
  <c r="X76" i="4"/>
  <c r="X75" i="4"/>
  <c r="X74" i="4"/>
  <c r="X73" i="4"/>
  <c r="X72" i="4"/>
  <c r="X71" i="4"/>
  <c r="X70" i="4"/>
  <c r="X69" i="4"/>
  <c r="X68" i="4"/>
  <c r="X67" i="4"/>
  <c r="X66" i="4"/>
  <c r="X65" i="4"/>
  <c r="X64" i="4"/>
  <c r="X63" i="4"/>
  <c r="X62" i="4"/>
  <c r="X61" i="4"/>
  <c r="X60" i="4"/>
  <c r="X59" i="4"/>
  <c r="X58" i="4"/>
  <c r="X57" i="4"/>
  <c r="X56" i="4"/>
  <c r="X55" i="4"/>
  <c r="X54" i="4"/>
  <c r="X53" i="4"/>
  <c r="X52" i="4"/>
  <c r="X51" i="4"/>
  <c r="X50" i="4"/>
  <c r="X49" i="4"/>
  <c r="X48" i="4"/>
  <c r="X47" i="4"/>
  <c r="X46" i="4"/>
  <c r="X45" i="4"/>
  <c r="X44" i="4"/>
  <c r="X43" i="4"/>
  <c r="X42" i="4"/>
  <c r="X41" i="4"/>
  <c r="X40" i="4"/>
  <c r="X39" i="4"/>
  <c r="X38" i="4"/>
  <c r="X37" i="4"/>
  <c r="X36" i="4"/>
  <c r="X35" i="4"/>
  <c r="X34" i="4"/>
  <c r="X33" i="4"/>
  <c r="X32" i="4"/>
  <c r="X31" i="4"/>
  <c r="X30" i="4"/>
  <c r="X29" i="4"/>
  <c r="X28" i="4"/>
  <c r="X27" i="4"/>
  <c r="X26" i="4"/>
  <c r="X25" i="4"/>
  <c r="X24" i="4"/>
  <c r="X23" i="4"/>
  <c r="X22" i="4"/>
  <c r="X21" i="4"/>
  <c r="X20" i="4"/>
  <c r="X19" i="4"/>
  <c r="X18" i="4"/>
  <c r="X17" i="4"/>
  <c r="X16" i="4"/>
  <c r="X15" i="4"/>
  <c r="X14" i="4"/>
  <c r="X13" i="4"/>
  <c r="X12" i="4"/>
  <c r="X11" i="4"/>
  <c r="X10" i="4"/>
  <c r="X9" i="4"/>
  <c r="X8" i="4"/>
  <c r="X7" i="4"/>
  <c r="X6" i="4"/>
  <c r="P205" i="3"/>
  <c r="P204" i="3"/>
  <c r="P203" i="3"/>
  <c r="P202" i="3"/>
  <c r="P201" i="3"/>
  <c r="P200" i="3"/>
  <c r="P199" i="3"/>
  <c r="P198" i="3"/>
  <c r="P197" i="3"/>
  <c r="P196" i="3"/>
  <c r="P195" i="3"/>
  <c r="P194" i="3"/>
  <c r="P193" i="3"/>
  <c r="P192" i="3"/>
  <c r="P191" i="3"/>
  <c r="P190" i="3"/>
  <c r="P189" i="3"/>
  <c r="P188" i="3"/>
  <c r="P187" i="3"/>
  <c r="P186" i="3"/>
  <c r="P185" i="3"/>
  <c r="P184" i="3"/>
  <c r="P183" i="3"/>
  <c r="P182" i="3"/>
  <c r="P181" i="3"/>
  <c r="P180" i="3"/>
  <c r="P179" i="3"/>
  <c r="P178" i="3"/>
  <c r="P177" i="3"/>
  <c r="P176" i="3"/>
  <c r="P175" i="3"/>
  <c r="P174" i="3"/>
  <c r="P173" i="3"/>
  <c r="P172" i="3"/>
  <c r="P171" i="3"/>
  <c r="P170" i="3"/>
  <c r="P169" i="3"/>
  <c r="P168" i="3"/>
  <c r="P167" i="3"/>
  <c r="P166" i="3"/>
  <c r="P165" i="3"/>
  <c r="P164" i="3"/>
  <c r="P163" i="3"/>
  <c r="P162" i="3"/>
  <c r="P161" i="3"/>
  <c r="P160" i="3"/>
  <c r="P159" i="3"/>
  <c r="P158" i="3"/>
  <c r="P157" i="3"/>
  <c r="P156" i="3"/>
  <c r="P155" i="3"/>
  <c r="P154" i="3"/>
  <c r="P153" i="3"/>
  <c r="P152" i="3"/>
  <c r="P151" i="3"/>
  <c r="P150" i="3"/>
  <c r="P149" i="3"/>
  <c r="P148" i="3"/>
  <c r="P147" i="3"/>
  <c r="P146" i="3"/>
  <c r="P145" i="3"/>
  <c r="P144" i="3"/>
  <c r="P143" i="3"/>
  <c r="P142" i="3"/>
  <c r="P141" i="3"/>
  <c r="P140" i="3"/>
  <c r="P139" i="3"/>
  <c r="P138" i="3"/>
  <c r="P137" i="3"/>
  <c r="P136" i="3"/>
  <c r="P135" i="3"/>
  <c r="P134" i="3"/>
  <c r="P133" i="3"/>
  <c r="P132" i="3"/>
  <c r="P131" i="3"/>
  <c r="P130" i="3"/>
  <c r="P129" i="3"/>
  <c r="P128" i="3"/>
  <c r="P127" i="3"/>
  <c r="P126" i="3"/>
  <c r="P125" i="3"/>
  <c r="P124" i="3"/>
  <c r="P123" i="3"/>
  <c r="P122" i="3"/>
  <c r="P121" i="3"/>
  <c r="P120" i="3"/>
  <c r="P119" i="3"/>
  <c r="P118" i="3"/>
  <c r="P117" i="3"/>
  <c r="P116" i="3"/>
  <c r="P115" i="3"/>
  <c r="P114" i="3"/>
  <c r="P113" i="3"/>
  <c r="P112" i="3"/>
  <c r="P111" i="3"/>
  <c r="P110" i="3"/>
  <c r="P109" i="3"/>
  <c r="P108" i="3"/>
  <c r="P107" i="3"/>
  <c r="P106" i="3"/>
  <c r="P105" i="3"/>
  <c r="P104" i="3"/>
  <c r="P103" i="3"/>
  <c r="P102" i="3"/>
  <c r="P101" i="3"/>
  <c r="P100" i="3"/>
  <c r="P99" i="3"/>
  <c r="P98" i="3"/>
  <c r="P97" i="3"/>
  <c r="P96" i="3"/>
  <c r="P95" i="3"/>
  <c r="P94" i="3"/>
  <c r="P93" i="3"/>
  <c r="P92" i="3"/>
  <c r="P91" i="3"/>
  <c r="P90" i="3"/>
  <c r="P89" i="3"/>
  <c r="P88" i="3"/>
  <c r="P87" i="3"/>
  <c r="P86" i="3"/>
  <c r="P85" i="3"/>
  <c r="P84" i="3"/>
  <c r="P83" i="3"/>
  <c r="P82" i="3"/>
  <c r="P81" i="3"/>
  <c r="P80" i="3"/>
  <c r="P79" i="3"/>
  <c r="P78" i="3"/>
  <c r="P77" i="3"/>
  <c r="P76" i="3"/>
  <c r="P75" i="3"/>
  <c r="P74" i="3"/>
  <c r="P73" i="3"/>
  <c r="P72" i="3"/>
  <c r="P71" i="3"/>
  <c r="P70" i="3"/>
  <c r="P69" i="3"/>
  <c r="P68" i="3"/>
  <c r="P67" i="3"/>
  <c r="P66" i="3"/>
  <c r="P65" i="3"/>
  <c r="P64" i="3"/>
  <c r="P63" i="3"/>
  <c r="P62" i="3"/>
  <c r="P61" i="3"/>
  <c r="P60" i="3"/>
  <c r="P59" i="3"/>
  <c r="P58" i="3"/>
  <c r="P57" i="3"/>
  <c r="P56" i="3"/>
  <c r="P55" i="3"/>
  <c r="P54" i="3"/>
  <c r="P53" i="3"/>
  <c r="P52" i="3"/>
  <c r="P51" i="3"/>
  <c r="P50" i="3"/>
  <c r="P49" i="3"/>
  <c r="P48" i="3"/>
  <c r="P47" i="3"/>
  <c r="P46" i="3"/>
  <c r="P45" i="3"/>
  <c r="P44" i="3"/>
  <c r="P43" i="3"/>
  <c r="P42" i="3"/>
  <c r="P41" i="3"/>
  <c r="P40" i="3"/>
  <c r="P39" i="3"/>
  <c r="P38" i="3"/>
  <c r="P37" i="3"/>
  <c r="P36" i="3"/>
  <c r="P35" i="3"/>
  <c r="P34" i="3"/>
  <c r="P33" i="3"/>
  <c r="P32" i="3"/>
  <c r="P31" i="3"/>
  <c r="P30" i="3"/>
  <c r="P29" i="3"/>
  <c r="P28" i="3"/>
  <c r="P27" i="3"/>
  <c r="P26" i="3"/>
  <c r="P25" i="3"/>
  <c r="P24" i="3"/>
  <c r="P23" i="3"/>
  <c r="P22" i="3"/>
  <c r="P21" i="3"/>
  <c r="P20" i="3"/>
  <c r="P19" i="3"/>
  <c r="P18" i="3"/>
  <c r="P17" i="3"/>
  <c r="P16" i="3"/>
  <c r="P15" i="3"/>
  <c r="P14" i="3"/>
  <c r="P13" i="3"/>
  <c r="P12" i="3"/>
  <c r="P11" i="3"/>
  <c r="P10" i="3"/>
  <c r="P9" i="3"/>
  <c r="P8" i="3"/>
  <c r="P7" i="3"/>
  <c r="P6" i="3"/>
  <c r="AD205" i="2"/>
  <c r="AD204" i="2"/>
  <c r="AD203" i="2"/>
  <c r="AD202" i="2"/>
  <c r="AD201" i="2"/>
  <c r="AD200" i="2"/>
  <c r="AD199" i="2"/>
  <c r="AD198" i="2"/>
  <c r="AD197" i="2"/>
  <c r="AD196" i="2"/>
  <c r="AD195" i="2"/>
  <c r="AD194" i="2"/>
  <c r="AD193" i="2"/>
  <c r="AD192" i="2"/>
  <c r="AD191" i="2"/>
  <c r="AD190" i="2"/>
  <c r="AD189" i="2"/>
  <c r="AD188" i="2"/>
  <c r="AD187" i="2"/>
  <c r="AD186" i="2"/>
  <c r="AD185" i="2"/>
  <c r="AD184" i="2"/>
  <c r="AD183" i="2"/>
  <c r="AD182" i="2"/>
  <c r="AD181" i="2"/>
  <c r="AD180" i="2"/>
  <c r="AD179" i="2"/>
  <c r="AD178" i="2"/>
  <c r="AD177" i="2"/>
  <c r="AD176" i="2"/>
  <c r="AD175" i="2"/>
  <c r="AD174" i="2"/>
  <c r="AD173" i="2"/>
  <c r="AD172" i="2"/>
  <c r="AD171" i="2"/>
  <c r="AD170" i="2"/>
  <c r="AD169" i="2"/>
  <c r="AD168" i="2"/>
  <c r="AD167" i="2"/>
  <c r="AD166" i="2"/>
  <c r="AD165" i="2"/>
  <c r="AD164" i="2"/>
  <c r="AD163" i="2"/>
  <c r="AD162" i="2"/>
  <c r="AD161" i="2"/>
  <c r="AD160" i="2"/>
  <c r="AD159" i="2"/>
  <c r="AD158" i="2"/>
  <c r="AD157" i="2"/>
  <c r="AD156" i="2"/>
  <c r="AD155" i="2"/>
  <c r="AD154" i="2"/>
  <c r="AD153" i="2"/>
  <c r="AD152" i="2"/>
  <c r="AD151" i="2"/>
  <c r="AD150" i="2"/>
  <c r="AD149" i="2"/>
  <c r="AD148" i="2"/>
  <c r="AD147" i="2"/>
  <c r="AD146" i="2"/>
  <c r="AD145" i="2"/>
  <c r="AD144" i="2"/>
  <c r="AD143" i="2"/>
  <c r="AD142" i="2"/>
  <c r="AD141" i="2"/>
  <c r="AD140" i="2"/>
  <c r="AD139" i="2"/>
  <c r="AD138" i="2"/>
  <c r="AD137" i="2"/>
  <c r="AD136" i="2"/>
  <c r="AD135" i="2"/>
  <c r="AD134" i="2"/>
  <c r="AD133" i="2"/>
  <c r="AD132" i="2"/>
  <c r="AD131" i="2"/>
  <c r="AD130" i="2"/>
  <c r="AD129" i="2"/>
  <c r="AD128" i="2"/>
  <c r="AD127" i="2"/>
  <c r="AD126" i="2"/>
  <c r="AD125" i="2"/>
  <c r="AD124" i="2"/>
  <c r="AD123" i="2"/>
  <c r="AD122" i="2"/>
  <c r="AD121" i="2"/>
  <c r="AD120" i="2"/>
  <c r="AD119" i="2"/>
  <c r="AD118" i="2"/>
  <c r="AD117" i="2"/>
  <c r="AD116" i="2"/>
  <c r="AD115" i="2"/>
  <c r="AD114" i="2"/>
  <c r="AD113" i="2"/>
  <c r="AD112" i="2"/>
  <c r="AD111" i="2"/>
  <c r="AD110" i="2"/>
  <c r="AD109" i="2"/>
  <c r="AD108" i="2"/>
  <c r="AD107" i="2"/>
  <c r="AD106" i="2"/>
  <c r="AD105" i="2"/>
  <c r="AD104" i="2"/>
  <c r="AD103" i="2"/>
  <c r="AD102" i="2"/>
  <c r="AD101" i="2"/>
  <c r="AD100" i="2"/>
  <c r="AD99" i="2"/>
  <c r="AD98" i="2"/>
  <c r="AD97" i="2"/>
  <c r="AD96" i="2"/>
  <c r="AD95" i="2"/>
  <c r="AD94" i="2"/>
  <c r="AD93" i="2"/>
  <c r="AD92" i="2"/>
  <c r="AD91" i="2"/>
  <c r="AD90" i="2"/>
  <c r="AD89" i="2"/>
  <c r="AD88" i="2"/>
  <c r="AD87" i="2"/>
  <c r="AD86" i="2"/>
  <c r="AD85" i="2"/>
  <c r="AD84" i="2"/>
  <c r="AD83" i="2"/>
  <c r="AD82" i="2"/>
  <c r="AD81" i="2"/>
  <c r="AD80" i="2"/>
  <c r="AD79" i="2"/>
  <c r="AD78" i="2"/>
  <c r="AD77" i="2"/>
  <c r="AD76" i="2"/>
  <c r="AD75" i="2"/>
  <c r="AD74" i="2"/>
  <c r="AD73" i="2"/>
  <c r="AD72" i="2"/>
  <c r="AD71" i="2"/>
  <c r="AD70" i="2"/>
  <c r="AD69" i="2"/>
  <c r="AD68" i="2"/>
  <c r="AD67" i="2"/>
  <c r="AD66" i="2"/>
  <c r="AD65" i="2"/>
  <c r="AD64" i="2"/>
  <c r="AD63" i="2"/>
  <c r="AD62" i="2"/>
  <c r="AD61" i="2"/>
  <c r="AD60" i="2"/>
  <c r="AD59" i="2"/>
  <c r="AD58" i="2"/>
  <c r="AD57" i="2"/>
  <c r="AD56" i="2"/>
  <c r="AD55" i="2"/>
  <c r="AD54" i="2"/>
  <c r="AD53" i="2"/>
  <c r="AD52" i="2"/>
  <c r="AD51" i="2"/>
  <c r="AD50" i="2"/>
  <c r="AD49" i="2"/>
  <c r="AD48" i="2"/>
  <c r="AD47" i="2"/>
  <c r="AD46" i="2"/>
  <c r="AD45" i="2"/>
  <c r="AD44" i="2"/>
  <c r="AD43" i="2"/>
  <c r="AD42" i="2"/>
  <c r="AD41" i="2"/>
  <c r="AD40" i="2"/>
  <c r="AD39" i="2"/>
  <c r="AD38" i="2"/>
  <c r="AD37" i="2"/>
  <c r="AD36" i="2"/>
  <c r="AD35" i="2"/>
  <c r="AD34" i="2"/>
  <c r="AD33" i="2"/>
  <c r="AD32" i="2"/>
  <c r="AD31" i="2"/>
  <c r="AD30" i="2"/>
  <c r="AD29" i="2"/>
  <c r="AD28" i="2"/>
  <c r="AD27" i="2"/>
  <c r="AD26" i="2"/>
  <c r="AD25" i="2"/>
  <c r="AD24" i="2"/>
  <c r="AD23" i="2"/>
  <c r="AD22" i="2"/>
  <c r="AD21" i="2"/>
  <c r="AD20" i="2"/>
  <c r="AD19" i="2"/>
  <c r="AD18" i="2"/>
  <c r="AD17" i="2"/>
  <c r="AD16" i="2"/>
  <c r="AD15" i="2"/>
  <c r="AD14" i="2"/>
  <c r="AD13" i="2"/>
  <c r="AD12" i="2"/>
  <c r="AD11" i="2"/>
  <c r="AD10" i="2"/>
  <c r="AD9" i="2"/>
  <c r="AD8" i="2"/>
  <c r="AD6" i="2"/>
</calcChain>
</file>

<file path=xl/sharedStrings.xml><?xml version="1.0" encoding="utf-8"?>
<sst xmlns="http://schemas.openxmlformats.org/spreadsheetml/2006/main" count="1809" uniqueCount="927">
  <si>
    <t>CPSC eFiling Product Registry 产品证书资料收集表</t>
  </si>
  <si>
    <t>用于业务人员按中文字段收集数据，开发人员可依据“API字段路径”与“JSON映射”生成 /import JSON。请不要在本表保存 JWT 或 x-api-secret。</t>
  </si>
  <si>
    <t>版本</t>
  </si>
  <si>
    <t>基于 eFiling API Specifications，January 2026，Version 4.0</t>
  </si>
  <si>
    <t>参数中文名</t>
  </si>
  <si>
    <t>API Key</t>
  </si>
  <si>
    <t>建议填写/设定</t>
  </si>
  <si>
    <t>注意事项</t>
  </si>
  <si>
    <t>接口</t>
  </si>
  <si>
    <t>/efiling/api/import（POST）</t>
  </si>
  <si>
    <t>Certifier ID</t>
  </si>
  <si>
    <t>certifierId</t>
  </si>
  <si>
    <t>必填。建议由系统配置。</t>
  </si>
  <si>
    <t>用途</t>
  </si>
  <si>
    <t>将 Certificate of Compliance 数据导入指定 Product Collection，可新增证书、更新证书，并通过 directives 指明贸易相关方是否新建。</t>
  </si>
  <si>
    <t>Collection ID</t>
  </si>
  <si>
    <t>collectionId</t>
  </si>
  <si>
    <t>必填。应先由 getCollections 获取可访问 Collection。</t>
  </si>
  <si>
    <t>全局参数：certifierId</t>
  </si>
  <si>
    <t>请填写企业/认证方 ID。建议由系统配置，不让业务人员随意修改。</t>
  </si>
  <si>
    <t>是否导入即认证</t>
  </si>
  <si>
    <t>doCertify</t>
  </si>
  <si>
    <t>false</t>
  </si>
  <si>
    <t>可选。只有 Certifier 权限用户可设 true。</t>
  </si>
  <si>
    <t>全局参数：collectionId</t>
  </si>
  <si>
    <t>请填写目标 Product Collection ID。建议由系统配置或由管理员维护。</t>
  </si>
  <si>
    <t>Token</t>
  </si>
  <si>
    <t>Authorization</t>
  </si>
  <si>
    <t>不要在本表保存</t>
  </si>
  <si>
    <t>敏感凭证。由系统运行环境注入。</t>
  </si>
  <si>
    <t>全局参数：doCertify</t>
  </si>
  <si>
    <t>可选。只有用户在目标 Collection 中有 Certifier 权限时才可设 true；否则会报错。未设或 false 时为 Awaiting Certification。</t>
  </si>
  <si>
    <t>Secret</t>
  </si>
  <si>
    <t>x-api-secret</t>
  </si>
  <si>
    <t>安全提醒</t>
  </si>
  <si>
    <t>JWT 和 x-api-secret 是用户权限凭证，不建议用 Excel 收集或明文保存。</t>
  </si>
  <si>
    <t>数据结构</t>
  </si>
  <si>
    <t>每个产品在 JSON 中是 productList 的一项，内部包含 coreProduct 和 directives；实验室、豁免、联系人可由各表关联到产品。</t>
  </si>
  <si>
    <t>日期格式</t>
  </si>
  <si>
    <t>生产月份 manufactureDate：MM/YYYY；测试日期、批次起止日期：MM/DD/YYYY。</t>
  </si>
  <si>
    <t>编号规则</t>
  </si>
  <si>
    <t>产品型号 primaryProductId、制造商 alternateId、实验室 alternateId、POC alternateId 应保持稳定，避免重复创建。</t>
  </si>
  <si>
    <t>国家字段</t>
  </si>
  <si>
    <t>建议统一使用英文国家名或系统认可的国家值，例如 Japan、China、USA，不要填中文国家名。</t>
  </si>
  <si>
    <t>实验室提醒</t>
  </si>
  <si>
    <t>type=ITL 表示 CPSC-Accepted Laboratory，必须填有效 CPSC ID；普通第三方实验室一般填 LAB，并提供 alternateId。</t>
  </si>
  <si>
    <t>一对多关系</t>
  </si>
  <si>
    <t>同一产品可以关联多个实验室/测试报告；在“03_实验室与测试报告”中用“关联产品唯一ID”对应产品表的 primaryProductId。</t>
  </si>
  <si>
    <t>错误排查</t>
  </si>
  <si>
    <t>导入后用 getImportStatus 轮询完成，再用 getImportLog 查看 validations 中错误码和错误字段。</t>
  </si>
  <si>
    <t>来源文件</t>
  </si>
  <si>
    <t>用户上传 PDF：《eFiling API Specifications_V4.pdf》</t>
  </si>
  <si>
    <t>API 基础路径</t>
  </si>
  <si>
    <t>https://efiling.saferproducts.gov/efiling/api</t>
  </si>
  <si>
    <t>CPSC 实验室查询</t>
  </si>
  <si>
    <t>https://cpsc.gov/cgi-bin/labsearch</t>
  </si>
  <si>
    <t>Sheet1 产品基本信息（Core Product）</t>
  </si>
  <si>
    <t>每行一个产品证书主体记录。客户只需填写中文字段；开发人员按第4行 API 字段路径生成 coreProduct 与 directives。</t>
  </si>
  <si>
    <t>填写要求/格式</t>
  </si>
  <si>
    <t>必填；新增/更新</t>
  </si>
  <si>
    <t>Y/N；新增=N，更新=Y</t>
  </si>
  <si>
    <t>必填；最长19</t>
  </si>
  <si>
    <t>更新时必填</t>
  </si>
  <si>
    <t>必填；最长19；不可重复</t>
  </si>
  <si>
    <t>必填；枚举</t>
  </si>
  <si>
    <t>可选；最长50</t>
  </si>
  <si>
    <t>必填；GCC/CPC</t>
  </si>
  <si>
    <t>必填；最长250</t>
  </si>
  <si>
    <t>可选；最长250</t>
  </si>
  <si>
    <t>必填；MM/YYYY</t>
  </si>
  <si>
    <t>可选；MM/DD/YYYY</t>
  </si>
  <si>
    <t>条件；填一个则两项都填</t>
  </si>
  <si>
    <t>条件；Manufacturer/Seller</t>
  </si>
  <si>
    <t>必填；MM/DD/YYYY</t>
  </si>
  <si>
    <t>必填；关联02表</t>
  </si>
  <si>
    <t>建议；关联04表</t>
  </si>
  <si>
    <t>可选</t>
  </si>
  <si>
    <t>自动检查</t>
  </si>
  <si>
    <t>internal.rowNo</t>
  </si>
  <si>
    <t>directives.productUpdate</t>
  </si>
  <si>
    <t>coreProduct.versionId</t>
  </si>
  <si>
    <t>directives.versionIdToUpdate</t>
  </si>
  <si>
    <t>coreProduct.primaryProductId</t>
  </si>
  <si>
    <t>coreProduct.primaryProductIdType</t>
  </si>
  <si>
    <t>coreProduct.identifiers[GTIN].identifier</t>
  </si>
  <si>
    <t>coreProduct.identifiers[UPC].identifier</t>
  </si>
  <si>
    <t>coreProduct.identifiers[SKU].identifier</t>
  </si>
  <si>
    <t>coreProduct.identifiers[Model #].identifier</t>
  </si>
  <si>
    <t>coreProduct.identifiers[Serial #].identifier</t>
  </si>
  <si>
    <t>coreProduct.identifiers[Registered #].identifier</t>
  </si>
  <si>
    <t>coreProduct.identifiers[Alternate ID].identifier</t>
  </si>
  <si>
    <t>coreProduct.certificateType</t>
  </si>
  <si>
    <t>coreProduct.name</t>
  </si>
  <si>
    <t>coreProduct.tradeBrandName</t>
  </si>
  <si>
    <t>coreProduct.description</t>
  </si>
  <si>
    <t>coreProduct.color</t>
  </si>
  <si>
    <t>coreProduct.style</t>
  </si>
  <si>
    <t>coreProduct.manufactureDate</t>
  </si>
  <si>
    <t>coreProduct.productionStartDate</t>
  </si>
  <si>
    <t>coreProduct.productionEndDate</t>
  </si>
  <si>
    <t>coreProduct.lotNumber</t>
  </si>
  <si>
    <t>coreProduct.lotNumberAssignedBy</t>
  </si>
  <si>
    <t>coreProduct.lastTestDate</t>
  </si>
  <si>
    <t>coreProduct.manufacturer.alternateId</t>
  </si>
  <si>
    <t>coreProduct.poc.alternateId</t>
  </si>
  <si>
    <t>internal.notes</t>
  </si>
  <si>
    <t>internal.status</t>
  </si>
  <si>
    <t>记录编号</t>
  </si>
  <si>
    <t>导入动作</t>
  </si>
  <si>
    <t>是否更新已有产品</t>
  </si>
  <si>
    <t>证书版本号</t>
  </si>
  <si>
    <t>更新目标版本号</t>
  </si>
  <si>
    <t>产品唯一ID/型号</t>
  </si>
  <si>
    <t>产品ID类型</t>
  </si>
  <si>
    <t>GTIN</t>
  </si>
  <si>
    <t>UPC</t>
  </si>
  <si>
    <t>SKU</t>
  </si>
  <si>
    <t>Model #</t>
  </si>
  <si>
    <t>Serial #</t>
  </si>
  <si>
    <t>Registered #</t>
  </si>
  <si>
    <t>Alternate ID</t>
  </si>
  <si>
    <t>证书类型</t>
  </si>
  <si>
    <t>产品名称</t>
  </si>
  <si>
    <t>品牌名称</t>
  </si>
  <si>
    <t>产品描述</t>
  </si>
  <si>
    <t>颜色</t>
  </si>
  <si>
    <t>款式</t>
  </si>
  <si>
    <t>生产月份</t>
  </si>
  <si>
    <t>批次生产开始日期</t>
  </si>
  <si>
    <t>批次生产结束日期</t>
  </si>
  <si>
    <t>批次号</t>
  </si>
  <si>
    <t>批号分配方</t>
  </si>
  <si>
    <t>最近测试日期</t>
  </si>
  <si>
    <t>制造商编号</t>
  </si>
  <si>
    <t>POC编号</t>
  </si>
  <si>
    <t>备注</t>
  </si>
  <si>
    <t>填写状态</t>
  </si>
  <si>
    <t>1</t>
  </si>
  <si>
    <t>新增</t>
  </si>
  <si>
    <t>N</t>
  </si>
  <si>
    <t>V1</t>
  </si>
  <si>
    <t>ABC-001</t>
  </si>
  <si>
    <t>GCC</t>
  </si>
  <si>
    <t>Baby Chair</t>
  </si>
  <si>
    <t>FOREVER</t>
  </si>
  <si>
    <t>Plastic Baby Chair</t>
  </si>
  <si>
    <t>White</t>
  </si>
  <si>
    <t>Modern</t>
  </si>
  <si>
    <t>06/2026</t>
  </si>
  <si>
    <t>06/01/2026</t>
  </si>
  <si>
    <t>06/30/2026</t>
  </si>
  <si>
    <t>LOT20260601</t>
  </si>
  <si>
    <t>Manufacturer</t>
  </si>
  <si>
    <t>06/19/2026</t>
  </si>
  <si>
    <t>FOREVER-MFG</t>
  </si>
  <si>
    <t>IMPORTER-POC</t>
  </si>
  <si>
    <t>示例数据，可删除后填写</t>
  </si>
  <si>
    <t>Sheet2 制造商信息（Manufacturer）</t>
  </si>
  <si>
    <t>用于维护制造商主数据。制造商编号 alternateId 应稳定复用；不要每次导入都生成新的编号。</t>
  </si>
  <si>
    <t>Y/N；首次=Y，已存在=N</t>
  </si>
  <si>
    <t>可选/条件；最长50</t>
  </si>
  <si>
    <t>新建时必填；最长100</t>
  </si>
  <si>
    <t>可选；最长100</t>
  </si>
  <si>
    <t>可选；最长10</t>
  </si>
  <si>
    <t>新建时必填；最长50</t>
  </si>
  <si>
    <t>新建时必填；最长50；英文</t>
  </si>
  <si>
    <t>新建时必填；最长10</t>
  </si>
  <si>
    <t>新建时必填；最长20</t>
  </si>
  <si>
    <t>coreProduct.manufacturer.alternateId / directives.manufacturer.alternateId</t>
  </si>
  <si>
    <t>directives.manufacturer.isNew</t>
  </si>
  <si>
    <t>coreProduct.manufacturer.gln / directives.manufacturer.gln</t>
  </si>
  <si>
    <t>coreProduct.manufacturer.sbmId</t>
  </si>
  <si>
    <t>coreProduct.manufacturer.name</t>
  </si>
  <si>
    <t>coreProduct.manufacturer.addressLine1</t>
  </si>
  <si>
    <t>coreProduct.manufacturer.addressLine2</t>
  </si>
  <si>
    <t>coreProduct.manufacturer.aptNumber</t>
  </si>
  <si>
    <t>coreProduct.manufacturer.city</t>
  </si>
  <si>
    <t>coreProduct.manufacturer.stateProvince</t>
  </si>
  <si>
    <t>coreProduct.manufacturer.country</t>
  </si>
  <si>
    <t>coreProduct.manufacturer.postalCode</t>
  </si>
  <si>
    <t>coreProduct.manufacturer.phone</t>
  </si>
  <si>
    <t>coreProduct.manufacturer.email</t>
  </si>
  <si>
    <t>是否新建制造商</t>
  </si>
  <si>
    <t>GLN</t>
  </si>
  <si>
    <t>Small Batch Manufacturer ID</t>
  </si>
  <si>
    <t>制造商名称</t>
  </si>
  <si>
    <t>地址1</t>
  </si>
  <si>
    <t>地址2</t>
  </si>
  <si>
    <t>房间/套间号</t>
  </si>
  <si>
    <t>城市</t>
  </si>
  <si>
    <t>州/省</t>
  </si>
  <si>
    <t>国家</t>
  </si>
  <si>
    <t>邮编</t>
  </si>
  <si>
    <t>电话</t>
  </si>
  <si>
    <t>邮箱</t>
  </si>
  <si>
    <t>Y</t>
  </si>
  <si>
    <t>Forever Co., Ltd.</t>
  </si>
  <si>
    <t>1-1-1 Shinjuku</t>
  </si>
  <si>
    <t>Tokyo</t>
  </si>
  <si>
    <t>Japan</t>
  </si>
  <si>
    <t>1000001</t>
  </si>
  <si>
    <t>03-1234-5678</t>
  </si>
  <si>
    <t>test@test.com</t>
  </si>
  <si>
    <t>同一制造商编号后续保持一致</t>
  </si>
  <si>
    <t>Sheet3 实验室与测试报告（Labs &amp; Test Reports）</t>
  </si>
  <si>
    <t>一行代表一个产品对应的一个实验室/测试报告。一个产品有多个实验室时，重复填写多行并使用同一个“关联产品唯一ID”。</t>
  </si>
  <si>
    <t>LAB时必填；最长50；稳定唯一</t>
  </si>
  <si>
    <t>必填；LAB/ITL</t>
  </si>
  <si>
    <t>ITL时必填；4位有效ID</t>
  </si>
  <si>
    <t>LAB可用；最长50</t>
  </si>
  <si>
    <t>新建LAB时必填；最长100</t>
  </si>
  <si>
    <t>新建LAB时必填；最长50</t>
  </si>
  <si>
    <t>新建LAB时必填；最长50；英文</t>
  </si>
  <si>
    <t>新建LAB时必填；最长10</t>
  </si>
  <si>
    <t>新建LAB时必填；最长20</t>
  </si>
  <si>
    <t>必填；多个用英文逗号分隔</t>
  </si>
  <si>
    <t>可选；最长400；多个用分号</t>
  </si>
  <si>
    <t>可选；true/false 或 Yes/No</t>
  </si>
  <si>
    <t>isComponent=true时建议填；最长250</t>
  </si>
  <si>
    <t>coreProduct.labs[].alternateId / directives.labs[].alternateId</t>
  </si>
  <si>
    <t>directives.labs[].isNew</t>
  </si>
  <si>
    <t>coreProduct.labs[].type</t>
  </si>
  <si>
    <t>coreProduct.labs[].cpscId</t>
  </si>
  <si>
    <t>coreProduct.labs[].gln / directives.labs[].gln</t>
  </si>
  <si>
    <t>coreProduct.labs[].name</t>
  </si>
  <si>
    <t>coreProduct.labs[].addressLine1</t>
  </si>
  <si>
    <t>coreProduct.labs[].addressLine2</t>
  </si>
  <si>
    <t>coreProduct.labs[].aptNumber</t>
  </si>
  <si>
    <t>coreProduct.labs[].city</t>
  </si>
  <si>
    <t>coreProduct.labs[].stateProvince</t>
  </si>
  <si>
    <t>coreProduct.labs[].country</t>
  </si>
  <si>
    <t>coreProduct.labs[].postalCode</t>
  </si>
  <si>
    <t>coreProduct.labs[].phone</t>
  </si>
  <si>
    <t>coreProduct.labs[].email</t>
  </si>
  <si>
    <t>coreProduct.labs[].citationCodes</t>
  </si>
  <si>
    <t>coreProduct.labs[].testReportId</t>
  </si>
  <si>
    <t>coreProduct.labs[].testURL</t>
  </si>
  <si>
    <t>coreProduct.labs[].testReportAccessKey</t>
  </si>
  <si>
    <t>coreProduct.labs[].isComponent</t>
  </si>
  <si>
    <t>coreProduct.labs[].componentDescription</t>
  </si>
  <si>
    <t>关联产品唯一ID</t>
  </si>
  <si>
    <t>实验室编号</t>
  </si>
  <si>
    <t>是否新建实验室</t>
  </si>
  <si>
    <t>实验室类型</t>
  </si>
  <si>
    <t>CPSC Lab ID</t>
  </si>
  <si>
    <t>实验室名称</t>
  </si>
  <si>
    <t>法规/检测引用代码</t>
  </si>
  <si>
    <t>测试报告编号</t>
  </si>
  <si>
    <t>测试报告URL</t>
  </si>
  <si>
    <t>报告访问密码</t>
  </si>
  <si>
    <t>是否部件测试</t>
  </si>
  <si>
    <t>部件说明</t>
  </si>
  <si>
    <t>SGS-JP</t>
  </si>
  <si>
    <t>LAB</t>
  </si>
  <si>
    <t>SGS Japan</t>
  </si>
  <si>
    <t>1-1-1 Tokyo</t>
  </si>
  <si>
    <t>lab@test.com</t>
  </si>
  <si>
    <t>1201,1202,1207</t>
  </si>
  <si>
    <t>RPT-001</t>
  </si>
  <si>
    <t>https://example.com/report</t>
  </si>
  <si>
    <t>password</t>
  </si>
  <si>
    <t>普通 LAB 示例；如填 ITL，必须提供有效 CPSC Lab ID</t>
  </si>
  <si>
    <t>Sheet4 联系人信息（Point of Contact）</t>
  </si>
  <si>
    <t>POC 是维护测试结果记录的联系人/机构。若 type 为 Importer、Manufacturer、Laboratory、Broker，文档说明不应提供地址信息；Other 才提供完整地址联系信息。</t>
  </si>
  <si>
    <t>必填；Importer/Manufacturer/Laboratory/Broker/Other</t>
  </si>
  <si>
    <t>Other或引用已有POC时可用</t>
  </si>
  <si>
    <t>Other新建时必填；最长100</t>
  </si>
  <si>
    <t>Other新建时必填；其他类型不要填</t>
  </si>
  <si>
    <t>Other新建时必填；最长50</t>
  </si>
  <si>
    <t>Other新建时必填；最长50；英文</t>
  </si>
  <si>
    <t>Other新建时必填；最长10</t>
  </si>
  <si>
    <t>Other新建时必填；最长20</t>
  </si>
  <si>
    <t>coreProduct.poc.alternateId / directives.poc.alternateId</t>
  </si>
  <si>
    <t>directives.poc.isNew</t>
  </si>
  <si>
    <t>coreProduct.poc.type</t>
  </si>
  <si>
    <t>coreProduct.poc.gln / directives.poc.gln</t>
  </si>
  <si>
    <t>coreProduct.poc.name</t>
  </si>
  <si>
    <t>coreProduct.poc.addressLine1</t>
  </si>
  <si>
    <t>coreProduct.poc.addressLine2</t>
  </si>
  <si>
    <t>coreProduct.poc.aptNumber</t>
  </si>
  <si>
    <t>coreProduct.poc.city</t>
  </si>
  <si>
    <t>coreProduct.poc.stateProvince</t>
  </si>
  <si>
    <t>coreProduct.poc.country</t>
  </si>
  <si>
    <t>coreProduct.poc.postalCode</t>
  </si>
  <si>
    <t>coreProduct.poc.phone</t>
  </si>
  <si>
    <t>coreProduct.poc.email</t>
  </si>
  <si>
    <t>是否新建POC</t>
  </si>
  <si>
    <t>联系人类型</t>
  </si>
  <si>
    <t>名称/姓名</t>
  </si>
  <si>
    <t>Importer</t>
  </si>
  <si>
    <t>Importer 类型一般不填地址；若选择 Other 则填写完整联系人信息</t>
  </si>
  <si>
    <t>Sheet5 法规豁免（Exemptions）</t>
  </si>
  <si>
    <t>若产品主张测试豁免，可在此表填写；一个产品多个豁免条款时，重复多行。</t>
  </si>
  <si>
    <t>可选；有豁免时填写</t>
  </si>
  <si>
    <t>可选；业务备注</t>
  </si>
  <si>
    <t>coreProduct.exemptions[]</t>
  </si>
  <si>
    <t>internal.description</t>
  </si>
  <si>
    <t>豁免条款代码</t>
  </si>
  <si>
    <t>中文说明</t>
  </si>
  <si>
    <t>1610.1(d)(1)</t>
  </si>
  <si>
    <t>示例豁免条款；没有豁免可不填</t>
  </si>
  <si>
    <t>字段字典、中文解释、注意事项与设定提示</t>
  </si>
  <si>
    <t>本表用于开发与业务校对：输入表尽量使用中文名，开发人员按 API字段路径 映射为 JSON。</t>
  </si>
  <si>
    <t>模块/Sheet</t>
  </si>
  <si>
    <t>API字段路径</t>
  </si>
  <si>
    <t>中文名称</t>
  </si>
  <si>
    <t>是否必填</t>
  </si>
  <si>
    <t>最大长度</t>
  </si>
  <si>
    <t>格式/可选值</t>
  </si>
  <si>
    <t>中文解释</t>
  </si>
  <si>
    <t>设定提示</t>
  </si>
  <si>
    <t>示例</t>
  </si>
  <si>
    <t>接口参数</t>
  </si>
  <si>
    <t>认证方ID</t>
  </si>
  <si>
    <t>必填</t>
  </si>
  <si>
    <t>—</t>
  </si>
  <si>
    <t>String</t>
  </si>
  <si>
    <t>目标企业/认证方账号 ID。</t>
  </si>
  <si>
    <t>不建议由业务人员随意填写，避免导入到错误账号。</t>
  </si>
  <si>
    <t>建议作为系统配置项，由管理员维护。</t>
  </si>
  <si>
    <t>example-company</t>
  </si>
  <si>
    <t>产品集合ID</t>
  </si>
  <si>
    <t>目标 Product Collection 的 ID。</t>
  </si>
  <si>
    <t>用户 token 必须有该集合访问权限。</t>
  </si>
  <si>
    <t>可通过 getCollections 获取并在系统中选择。</t>
  </si>
  <si>
    <t>11111111-2222-3333-4444-999999999999</t>
  </si>
  <si>
    <t>导入时是否认证</t>
  </si>
  <si>
    <t>true/false</t>
  </si>
  <si>
    <t>有效证书导入后是否直接认证。</t>
  </si>
  <si>
    <t>仅 Certifier 权限可设 true；否则报错。</t>
  </si>
  <si>
    <t>默认 false；业务确认后才开启。</t>
  </si>
  <si>
    <t>01_产品基本信息</t>
  </si>
  <si>
    <t>19</t>
  </si>
  <si>
    <t>当前或拟导入的证书版本标识。</t>
  </si>
  <si>
    <t>更新已有证书时要和 versionIdToUpdate 区分。</t>
  </si>
  <si>
    <t>建议 V1、V2、V3 递增，不要使用过长或中文。</t>
  </si>
  <si>
    <t>产品的唯一标识，即后续查询中的 Product ID。</t>
  </si>
  <si>
    <t>必须稳定、不可重复；ImportId 不是 ProductId。</t>
  </si>
  <si>
    <t>建议使用客户内部型号，如 ABC-001。</t>
  </si>
  <si>
    <t>GTIN/UPC/SKU/Model #/Serial #/Registered #/Alternate ID</t>
  </si>
  <si>
    <t>说明 primaryProductId 属于哪类编号。</t>
  </si>
  <si>
    <t>必须使用枚举值，大小写和符号建议完全按文档。</t>
  </si>
  <si>
    <t>普通型号建议 Model #。</t>
  </si>
  <si>
    <t>coreProduct.identifiers[].identifier</t>
  </si>
  <si>
    <t>其他产品标识</t>
  </si>
  <si>
    <t>50</t>
  </si>
  <si>
    <t>Array</t>
  </si>
  <si>
    <t>除主产品 ID 外的其他编号。</t>
  </si>
  <si>
    <t>不要修改 identType；只填 identifier 值。</t>
  </si>
  <si>
    <t>可分别填写 GTIN、UPC、SKU、Model #、Serial #、Registered #、Alternate ID。</t>
  </si>
  <si>
    <t>123-UPC-456</t>
  </si>
  <si>
    <t>GCC/CPC</t>
  </si>
  <si>
    <t>证书类型：General Certificate of Conformity 或 Children’s Product Certificate。</t>
  </si>
  <si>
    <t>必须二选一。</t>
  </si>
  <si>
    <t>儿童产品通常为 CPC，普通消费品通常为 GCC，具体由合规判断。</t>
  </si>
  <si>
    <t>250</t>
  </si>
  <si>
    <t>产品正式名称。</t>
  </si>
  <si>
    <t>不要只写内部简称。</t>
  </si>
  <si>
    <t>建议与证书/测试报告产品名称保持一致。</t>
  </si>
  <si>
    <t>产品销售品牌或商标。</t>
  </si>
  <si>
    <t>如无品牌可空。</t>
  </si>
  <si>
    <t>建议与包装/Listing一致。</t>
  </si>
  <si>
    <t>简要描述产品功能、材料、用途等。</t>
  </si>
  <si>
    <t>不宜过长；避免中文，建议英文。</t>
  </si>
  <si>
    <t>可用“材质+用途+关键特征”结构。</t>
  </si>
  <si>
    <t>产品颜色。</t>
  </si>
  <si>
    <t>如多色可用英文逗号。</t>
  </si>
  <si>
    <t>统一英文，如 White, Black。</t>
  </si>
  <si>
    <t>产品款式/风格。</t>
  </si>
  <si>
    <t>如无可空。</t>
  </si>
  <si>
    <t>用英文简短表达。</t>
  </si>
  <si>
    <t>MM/YYYY</t>
  </si>
  <si>
    <t>产品制造月份和年份。</t>
  </si>
  <si>
    <t>不要填 YYYY-MM；必须按月/年格式。</t>
  </si>
  <si>
    <t>统一用两位月份，如 06/2026。</t>
  </si>
  <si>
    <t>MM/DD/YYYY</t>
  </si>
  <si>
    <t>产品批次生产开始日期。</t>
  </si>
  <si>
    <t>如填写结束日期，建议也填写开始日期。</t>
  </si>
  <si>
    <t>与 lotNumber 配套记录更清楚。</t>
  </si>
  <si>
    <t>产品批次生产结束日期。</t>
  </si>
  <si>
    <t>结束日期不应早于开始日期。</t>
  </si>
  <si>
    <t>按测试/生产记录填写。</t>
  </si>
  <si>
    <t>条件</t>
  </si>
  <si>
    <t>20</t>
  </si>
  <si>
    <t>产品批次编号。</t>
  </si>
  <si>
    <t>lotNumber 与 lotNumberAssignedBy 只要填一个，另一个也要填。</t>
  </si>
  <si>
    <t>建议按客户批次编号稳定填写。</t>
  </si>
  <si>
    <t>Manufacturer/Seller</t>
  </si>
  <si>
    <t>批次号由谁分配。</t>
  </si>
  <si>
    <t>文档定义 Manufacturer/Seller；示例出现大写，建议先按系统接受值测试。</t>
  </si>
  <si>
    <t>建议统一一个值体系。</t>
  </si>
  <si>
    <t>产品最近一次测试日期。</t>
  </si>
  <si>
    <t>即使只引用豁免，文档说明当前 Registry 仍要求填日期，可暂用上传日期。</t>
  </si>
  <si>
    <t>优先填测试报告日期/签发日期。</t>
  </si>
  <si>
    <t>02_制造商信息</t>
  </si>
  <si>
    <t>coreProduct.manufacturer.gln</t>
  </si>
  <si>
    <t>制造商GLN</t>
  </si>
  <si>
    <t>必填/条件</t>
  </si>
  <si>
    <t>Global Location Number，用于识别制造商。</t>
  </si>
  <si>
    <t>GLN 或 alternateId 用于新建/识别制造商；通常二者至少有一个稳定可用。</t>
  </si>
  <si>
    <t>没有 GLN 时使用 alternateId。</t>
  </si>
  <si>
    <t>客户自定义的制造商唯一编号。</t>
  </si>
  <si>
    <t>同一制造商必须复用同一编号；否则系统可能反复创建新制造商。</t>
  </si>
  <si>
    <t>建议用公司简称-MFG。</t>
  </si>
  <si>
    <t>小批量制造商ID</t>
  </si>
  <si>
    <t>Small Batch Manufacturer ID。</t>
  </si>
  <si>
    <t>没有则空。</t>
  </si>
  <si>
    <t>仅适用时填写。</t>
  </si>
  <si>
    <t>100</t>
  </si>
  <si>
    <t>制造商公司正式名称。</t>
  </si>
  <si>
    <t>新建制造商时必填。</t>
  </si>
  <si>
    <t>与营业/合规资料一致。</t>
  </si>
  <si>
    <t>制造商地址1</t>
  </si>
  <si>
    <t>制造商主要街道地址。</t>
  </si>
  <si>
    <t>新建制造商时需完整地址。</t>
  </si>
  <si>
    <t>用英文地址。</t>
  </si>
  <si>
    <t>制造商地址2</t>
  </si>
  <si>
    <t>条件/可选</t>
  </si>
  <si>
    <t>地址补充信息。</t>
  </si>
  <si>
    <t>没有可空。</t>
  </si>
  <si>
    <t>例如 Building/Floor。</t>
  </si>
  <si>
    <t>10</t>
  </si>
  <si>
    <t>房间号、套间号。</t>
  </si>
  <si>
    <t>最长10字符。</t>
  </si>
  <si>
    <t>必要时填写。</t>
  </si>
  <si>
    <t>Suite 5</t>
  </si>
  <si>
    <t>制造商城市</t>
  </si>
  <si>
    <t>制造商所在城市。</t>
  </si>
  <si>
    <t>英文填写。</t>
  </si>
  <si>
    <t>制造商州/省</t>
  </si>
  <si>
    <t>制造商所在州/省。</t>
  </si>
  <si>
    <t>日本可填 Tokyo；中国可填 Guangdong 等。</t>
  </si>
  <si>
    <t>制造商国家</t>
  </si>
  <si>
    <t>制造商所在国家。</t>
  </si>
  <si>
    <t>建议英文国家名，不要中文。</t>
  </si>
  <si>
    <t>统一值表，如 Japan、China、USA。</t>
  </si>
  <si>
    <t>制造商邮编</t>
  </si>
  <si>
    <t>邮政编码。</t>
  </si>
  <si>
    <t>保留前导0时按文本填写。</t>
  </si>
  <si>
    <t>制造商电话</t>
  </si>
  <si>
    <t>制造商联系电话。</t>
  </si>
  <si>
    <t>新建制造商时必填；注意长度限制。</t>
  </si>
  <si>
    <t>可包含连字符。</t>
  </si>
  <si>
    <t>制造商邮箱</t>
  </si>
  <si>
    <t>Email</t>
  </si>
  <si>
    <t>制造商联系邮箱。</t>
  </si>
  <si>
    <t>必须是真实邮箱格式。</t>
  </si>
  <si>
    <t>建议统一合规/客服邮箱。</t>
  </si>
  <si>
    <t>03_实验室与测试报告</t>
  </si>
  <si>
    <t>ITL/LAB</t>
  </si>
  <si>
    <t>实验室类型。ITL 为 CPSC-Accepted Laboratory；LAB 为普通实验室。</t>
  </si>
  <si>
    <t>type=ITL 时 cpscId 必填；type=LAB 时通常用 alternateId/GLN 识别。</t>
  </si>
  <si>
    <t>普通 SGS/TUV 等可先按 LAB 填。</t>
  </si>
  <si>
    <t>4-digit ID</t>
  </si>
  <si>
    <t>CPSC 分配给被接受实验室的 ID。</t>
  </si>
  <si>
    <t>仅 ITL 类型必填；必须有效。</t>
  </si>
  <si>
    <t>可用 CPSC labsearch 查询。</t>
  </si>
  <si>
    <t>9999</t>
  </si>
  <si>
    <t>coreProduct.labs[].gln</t>
  </si>
  <si>
    <t>实验室GLN</t>
  </si>
  <si>
    <t>实验室 GLN。</t>
  </si>
  <si>
    <t>LAB 类型可用 GLN 或 alternateId 识别。</t>
  </si>
  <si>
    <t>没有 GLN 时使用实验室编号。</t>
  </si>
  <si>
    <t>coreProduct.labs[].alternateId</t>
  </si>
  <si>
    <t>自定义实验室唯一编号。</t>
  </si>
  <si>
    <t>同一实验室必须复用同一编号。</t>
  </si>
  <si>
    <t>建议 SGS-JP、TUV-JP 等。</t>
  </si>
  <si>
    <t>实验室正式名称。</t>
  </si>
  <si>
    <t>新建 LAB 时必填。</t>
  </si>
  <si>
    <t>与报告抬头一致。</t>
  </si>
  <si>
    <t>实验室地址1</t>
  </si>
  <si>
    <t>实验室街道地址。</t>
  </si>
  <si>
    <t>实验室地址2</t>
  </si>
  <si>
    <t>实验室地址补充。</t>
  </si>
  <si>
    <t>实验室房间号</t>
  </si>
  <si>
    <t>实验室套间号。</t>
  </si>
  <si>
    <t>最长10。</t>
  </si>
  <si>
    <t>Suite 42</t>
  </si>
  <si>
    <t>实验室城市</t>
  </si>
  <si>
    <t>实验室所在城市。</t>
  </si>
  <si>
    <t>实验室州/省</t>
  </si>
  <si>
    <t>实验室所在州/省。</t>
  </si>
  <si>
    <t>实验室国家</t>
  </si>
  <si>
    <t>实验室所在国家。</t>
  </si>
  <si>
    <t>英文国家名。</t>
  </si>
  <si>
    <t>实验室邮编</t>
  </si>
  <si>
    <t>实验室邮政编码。</t>
  </si>
  <si>
    <t>保留前导0。</t>
  </si>
  <si>
    <t>实验室电话</t>
  </si>
  <si>
    <t>实验室联系电话。</t>
  </si>
  <si>
    <t>实验室邮箱</t>
  </si>
  <si>
    <t>实验室联系邮箱。</t>
  </si>
  <si>
    <t>新建 LAB 时必填；需邮箱格式。</t>
  </si>
  <si>
    <t>适用法规/标准引用代码。</t>
  </si>
  <si>
    <t>至少一个；多个可在 Excel 中用英文逗号分隔，生成 JSON 时转数组。</t>
  </si>
  <si>
    <t>使用 CPSC/系统认可的 citation code。</t>
  </si>
  <si>
    <t>400</t>
  </si>
  <si>
    <t>测试报告 ID。</t>
  </si>
  <si>
    <t>多个值用英文分号分隔。</t>
  </si>
  <si>
    <t>建议与报告文件名或编号一致。</t>
  </si>
  <si>
    <t>URL</t>
  </si>
  <si>
    <t>测试报告可访问链接。</t>
  </si>
  <si>
    <t>多个值用英文分号分隔；URL 应可访问。</t>
  </si>
  <si>
    <t>如不提供在线报告可空。</t>
  </si>
  <si>
    <t>查看测试报告所需密码/密钥。</t>
  </si>
  <si>
    <t>敏感信息，控制共享范围。</t>
  </si>
  <si>
    <t>如测试 URL 无需密码可空。</t>
  </si>
  <si>
    <t>true/false/Yes/No</t>
  </si>
  <si>
    <t>测试信息是否适用于部件。</t>
  </si>
  <si>
    <t>文档接受 true/false 与 Yes/No。</t>
  </si>
  <si>
    <t>建议统一使用 true/false。</t>
  </si>
  <si>
    <t>当 isComponent 为 true/yes 时说明部件。</t>
  </si>
  <si>
    <t>部件测试时建议填写。</t>
  </si>
  <si>
    <t>例如 Table legs。</t>
  </si>
  <si>
    <t>Table legs</t>
  </si>
  <si>
    <t>05_法规豁免</t>
  </si>
  <si>
    <t>豁免条款</t>
  </si>
  <si>
    <t>产品主张的测试豁免代码。</t>
  </si>
  <si>
    <t>没有豁免不填；不要随意填写不适用条款。</t>
  </si>
  <si>
    <t>多个条款在表中分多行填写，生成 JSON 时转数组。</t>
  </si>
  <si>
    <t>04_联系人POC</t>
  </si>
  <si>
    <t>Importer/Manufacturer/Laboratory/Broker/Other</t>
  </si>
  <si>
    <t>维护测试结果记录的实体类型。</t>
  </si>
  <si>
    <t>若为 Other，应提供完整地址/联系方式；其他类型不应提供地址信息。</t>
  </si>
  <si>
    <t>常见可用 Importer。</t>
  </si>
  <si>
    <t>coreProduct.poc.gln</t>
  </si>
  <si>
    <t>POC GLN</t>
  </si>
  <si>
    <t>POC 的 GLN。</t>
  </si>
  <si>
    <t>Other 新建或识别已有 POC 时可用。</t>
  </si>
  <si>
    <t>没有 GLN 使用 alternateId。</t>
  </si>
  <si>
    <t>自定义 POC 唯一编号。</t>
  </si>
  <si>
    <t>新建 Other POC 或引用已有 POC 时使用。</t>
  </si>
  <si>
    <t>建议稳定复用。</t>
  </si>
  <si>
    <t>POC名称/姓名</t>
  </si>
  <si>
    <t>POC 联系人或机构名称。</t>
  </si>
  <si>
    <t>Other 类型新建时必填。</t>
  </si>
  <si>
    <t>如果 type=Importer 且不需要具体信息，可空。</t>
  </si>
  <si>
    <t>Tom</t>
  </si>
  <si>
    <t>POC地址1</t>
  </si>
  <si>
    <t>POC 地址。</t>
  </si>
  <si>
    <t>仅 type=Other 且新建时必填；Importer/Manufacturer/Laboratory/Broker 不要填地址。</t>
  </si>
  <si>
    <t>按英文地址。</t>
  </si>
  <si>
    <t>123 Main St</t>
  </si>
  <si>
    <t>POC地址2</t>
  </si>
  <si>
    <t>POC 地址补充。</t>
  </si>
  <si>
    <t>不适用时空。</t>
  </si>
  <si>
    <t>POC房间号</t>
  </si>
  <si>
    <t>POC 套间号。</t>
  </si>
  <si>
    <t>404</t>
  </si>
  <si>
    <t>POC城市</t>
  </si>
  <si>
    <t>POC 所在城市。</t>
  </si>
  <si>
    <t>Other 新建时必填。</t>
  </si>
  <si>
    <t>POC州/省</t>
  </si>
  <si>
    <t>POC 所在州/省。</t>
  </si>
  <si>
    <t>POC国家</t>
  </si>
  <si>
    <t>POC 所在国家。</t>
  </si>
  <si>
    <t>Other 新建时必填；英文。</t>
  </si>
  <si>
    <t>统一国家值。</t>
  </si>
  <si>
    <t>POC邮编</t>
  </si>
  <si>
    <t>POC 邮编。</t>
  </si>
  <si>
    <t>POC电话</t>
  </si>
  <si>
    <t>POC 联系电话。</t>
  </si>
  <si>
    <t>123456789</t>
  </si>
  <si>
    <t>POC邮箱</t>
  </si>
  <si>
    <t>POC 邮箱。</t>
  </si>
  <si>
    <t>Other 新建时必填；需邮箱格式。</t>
  </si>
  <si>
    <t>tom@test.com</t>
  </si>
  <si>
    <t>Y/N</t>
  </si>
  <si>
    <t>表示前面的 coreProduct 是否为更新已有产品。</t>
  </si>
  <si>
    <t>更新时必须提供 versionIdToUpdate。</t>
  </si>
  <si>
    <t>新增填 N，更新填 Y。</t>
  </si>
  <si>
    <t>被更新的旧版本号。</t>
  </si>
  <si>
    <t>productUpdate=Y 时必填。</t>
  </si>
  <si>
    <t>新增时留空。</t>
  </si>
  <si>
    <t>制造商是否首次加入目标 Business Account。</t>
  </si>
  <si>
    <t>留空默认 N；但建议明确填 Y/N。</t>
  </si>
  <si>
    <t>首次导入该制造商填 Y，之后填 N。</t>
  </si>
  <si>
    <t>directives.manufacturer.gln</t>
  </si>
  <si>
    <t>新建制造商GLN</t>
  </si>
  <si>
    <t>新建制造商时使用的 GLN。</t>
  </si>
  <si>
    <t>isNew=Y 时和/或 alternateId 用于创建识别。</t>
  </si>
  <si>
    <t>没有 GLN 可空。</t>
  </si>
  <si>
    <t>directives.manufacturer.alternateId</t>
  </si>
  <si>
    <t>新建制造商编号</t>
  </si>
  <si>
    <t>新建制造商时使用的 alternateId。</t>
  </si>
  <si>
    <t>isNew=Y 时建议必填，并与 coreProduct 中一致。</t>
  </si>
  <si>
    <t>保持稳定。</t>
  </si>
  <si>
    <t>实验室是否首次加入目标 Business Account。</t>
  </si>
  <si>
    <t>留空默认 N；建议明确填。</t>
  </si>
  <si>
    <t>首次导入实验室填 Y，之后填 N。</t>
  </si>
  <si>
    <t>directives.labs[].gln</t>
  </si>
  <si>
    <t>新建实验室GLN</t>
  </si>
  <si>
    <t>新建实验室时使用的 GLN。</t>
  </si>
  <si>
    <t>isNew=Y 时可用。</t>
  </si>
  <si>
    <t>directives.labs[].alternateId</t>
  </si>
  <si>
    <t>新建实验室编号</t>
  </si>
  <si>
    <t>新建实验室时使用的 alternateId。</t>
  </si>
  <si>
    <t>与 coreProduct.labs[].alternateId 保持一致。</t>
  </si>
  <si>
    <t>稳定复用。</t>
  </si>
  <si>
    <t>POC 是否首次加入目标 Business Account。</t>
  </si>
  <si>
    <t>常规 Importer 可填 N。</t>
  </si>
  <si>
    <t>directives.poc.gln</t>
  </si>
  <si>
    <t>新建POC GLN</t>
  </si>
  <si>
    <t>新建 POC 时的 GLN。</t>
  </si>
  <si>
    <t>directives.poc.alternateId</t>
  </si>
  <si>
    <t>新建POC编号</t>
  </si>
  <si>
    <t>新建 POC 时的 alternateId。</t>
  </si>
  <si>
    <t>与 coreProduct.poc.alternateId 保持一致。</t>
  </si>
  <si>
    <t>下拉选项与填写标准</t>
  </si>
  <si>
    <t>供数据录入下拉框和开发映射使用。</t>
  </si>
  <si>
    <t>选项组</t>
  </si>
  <si>
    <t>可选值</t>
  </si>
  <si>
    <t>建议默认值</t>
  </si>
  <si>
    <t>API字段</t>
  </si>
  <si>
    <t>新增/更新业务口径</t>
  </si>
  <si>
    <t>新增映射 productUpdate=N，更新映射 productUpdate=Y</t>
  </si>
  <si>
    <t>更新</t>
  </si>
  <si>
    <t>productUpdate</t>
  </si>
  <si>
    <t>API 是否更新</t>
  </si>
  <si>
    <t>Y=更新已有产品，N=新增产品</t>
  </si>
  <si>
    <t>只有 Certifier 权限可 true</t>
  </si>
  <si>
    <t>true</t>
  </si>
  <si>
    <t>primaryProductIdType</t>
  </si>
  <si>
    <t>产品 ID 类型</t>
  </si>
  <si>
    <t>必须使用文档枚举值</t>
  </si>
  <si>
    <t>certificateType</t>
  </si>
  <si>
    <t>GCC 或 CPC</t>
  </si>
  <si>
    <t>CPC</t>
  </si>
  <si>
    <t>lotNumberAssignedBy</t>
  </si>
  <si>
    <t>与 lotNumber 配套</t>
  </si>
  <si>
    <t>Seller</t>
  </si>
  <si>
    <t>labType</t>
  </si>
  <si>
    <t>ITL 需有效 CPSC Lab ID</t>
  </si>
  <si>
    <t>ITL</t>
  </si>
  <si>
    <t>pocType</t>
  </si>
  <si>
    <t>POC 类型</t>
  </si>
  <si>
    <t>Other 才需完整地址</t>
  </si>
  <si>
    <t>Laboratory</t>
  </si>
  <si>
    <t>Broker</t>
  </si>
  <si>
    <t>Other</t>
  </si>
  <si>
    <t>isNew</t>
  </si>
  <si>
    <t>是否新建贸易相关方</t>
  </si>
  <si>
    <t>首次创建填 Y，后续引用填 N</t>
  </si>
  <si>
    <t>directives.*.isNew</t>
  </si>
  <si>
    <t>isComponent</t>
  </si>
  <si>
    <t>建议统一 true/false</t>
  </si>
  <si>
    <t>No</t>
  </si>
  <si>
    <t>Yes</t>
  </si>
  <si>
    <t>country</t>
  </si>
  <si>
    <t>USA</t>
  </si>
  <si>
    <t>常用英文国家值</t>
  </si>
  <si>
    <t>实际以系统认可值为准，不要填中文</t>
  </si>
  <si>
    <t>*.country</t>
  </si>
  <si>
    <t>China</t>
  </si>
  <si>
    <t>Taiwan</t>
  </si>
  <si>
    <t>Vietnam</t>
  </si>
  <si>
    <t>Thailand</t>
  </si>
  <si>
    <t>Malaysia</t>
  </si>
  <si>
    <t>Indonesia</t>
  </si>
  <si>
    <t>Philippines</t>
  </si>
  <si>
    <t>Korea</t>
  </si>
  <si>
    <t>India</t>
  </si>
  <si>
    <t>Mexico</t>
  </si>
  <si>
    <t>Canada</t>
  </si>
  <si>
    <t>CPSC eFiling Import 错误码速查</t>
  </si>
  <si>
    <t>导入后 getImportLog 的 validations.errors 可按本表排查。错误码来自文档 Error Code Dictionary。</t>
  </si>
  <si>
    <t>错误码</t>
  </si>
  <si>
    <t>错误信息英文</t>
  </si>
  <si>
    <t>错误字段</t>
  </si>
  <si>
    <t>中文解释/处理建议</t>
  </si>
  <si>
    <t>类别</t>
  </si>
  <si>
    <t>1001</t>
  </si>
  <si>
    <t>The Product Name is invalid.</t>
  </si>
  <si>
    <t>name</t>
  </si>
  <si>
    <t>产品名称无效；检查是否为空、超长或含不支持字符。</t>
  </si>
  <si>
    <t>证书数据错误</t>
  </si>
  <si>
    <t>1002</t>
  </si>
  <si>
    <t>The Trade/Brand Name is invalid.</t>
  </si>
  <si>
    <t>tradeBrandName</t>
  </si>
  <si>
    <t>品牌名称无效；检查长度和字符。</t>
  </si>
  <si>
    <t>1003</t>
  </si>
  <si>
    <t>The Product ID Type is invalid.</t>
  </si>
  <si>
    <t>产品 ID 类型无效；必须使用枚举值。</t>
  </si>
  <si>
    <t>1004</t>
  </si>
  <si>
    <t>The Product ID is invalid.</t>
  </si>
  <si>
    <t>primaryProductId</t>
  </si>
  <si>
    <t>产品唯一ID无效；检查是否为空、超长、重复或格式不被接受。</t>
  </si>
  <si>
    <t>1007</t>
  </si>
  <si>
    <t>The Product Identifier Type is invalid.</t>
  </si>
  <si>
    <t>identType</t>
  </si>
  <si>
    <t>附加标识类型无效；不要修改 identType。</t>
  </si>
  <si>
    <t>1008</t>
  </si>
  <si>
    <t>The GTIN is invalid.</t>
  </si>
  <si>
    <t>identifiers[#].identifier</t>
  </si>
  <si>
    <t>GTIN 无效；检查位数/格式。</t>
  </si>
  <si>
    <t>1009</t>
  </si>
  <si>
    <t>The UPC is invalid.</t>
  </si>
  <si>
    <t>UPC 无效；检查位数/格式。</t>
  </si>
  <si>
    <t>1010</t>
  </si>
  <si>
    <t>The SKU is invalid.</t>
  </si>
  <si>
    <t>SKU 无效；检查长度/字符。</t>
  </si>
  <si>
    <t>1011</t>
  </si>
  <si>
    <t>The Model Number is invalid.</t>
  </si>
  <si>
    <t>Model Number 无效。</t>
  </si>
  <si>
    <t>1012</t>
  </si>
  <si>
    <t>The Serial Number is invalid.</t>
  </si>
  <si>
    <t>Serial Number 无效。</t>
  </si>
  <si>
    <t>1013</t>
  </si>
  <si>
    <t>The Registered Number is invalid.</t>
  </si>
  <si>
    <t>Registered Number 无效。</t>
  </si>
  <si>
    <t>1014</t>
  </si>
  <si>
    <t>The Alternate Identifier is invalid.</t>
  </si>
  <si>
    <t>Alternate Identifier 无效。</t>
  </si>
  <si>
    <t>1015</t>
  </si>
  <si>
    <t>The Color is invalid.</t>
  </si>
  <si>
    <t>color</t>
  </si>
  <si>
    <t>颜色无效。</t>
  </si>
  <si>
    <t>1016</t>
  </si>
  <si>
    <t>The Style is invalid.</t>
  </si>
  <si>
    <t>style</t>
  </si>
  <si>
    <t>款式无效。</t>
  </si>
  <si>
    <t>1017</t>
  </si>
  <si>
    <t>The Description is invalid.</t>
  </si>
  <si>
    <t>description</t>
  </si>
  <si>
    <t>产品描述无效。</t>
  </si>
  <si>
    <t>1018</t>
  </si>
  <si>
    <t>The Manufacture Date is invalid.</t>
  </si>
  <si>
    <t>manufactureDate</t>
  </si>
  <si>
    <t>生产月份格式错误，应为 MM/YYYY。</t>
  </si>
  <si>
    <t>1019</t>
  </si>
  <si>
    <t>The Production Start Date is invalid.</t>
  </si>
  <si>
    <t>productionStartDate</t>
  </si>
  <si>
    <t>批次开始日期格式错误，应为 MM/DD/YYYY。</t>
  </si>
  <si>
    <t>1020</t>
  </si>
  <si>
    <t>The Production End Date is invalid.</t>
  </si>
  <si>
    <t>productionEndDate</t>
  </si>
  <si>
    <t>批次结束日期格式错误，应为 MM/DD/YYYY。</t>
  </si>
  <si>
    <t>1021</t>
  </si>
  <si>
    <t>The Lot Number is invalid.</t>
  </si>
  <si>
    <t>lotNumber</t>
  </si>
  <si>
    <t>批次号无效。</t>
  </si>
  <si>
    <t>1022</t>
  </si>
  <si>
    <t>The Lot Assigned By is invalid.</t>
  </si>
  <si>
    <t>批号分配方无效；检查 Manufacturer/Seller。</t>
  </si>
  <si>
    <t>1023</t>
  </si>
  <si>
    <t>The Certificate Type is invalid.</t>
  </si>
  <si>
    <t>证书类型无效；只能 GCC 或 CPC。</t>
  </si>
  <si>
    <t>1024</t>
  </si>
  <si>
    <t>The Last Test Date is invalid.</t>
  </si>
  <si>
    <t>lastTestDate</t>
  </si>
  <si>
    <t>最近测试日期格式错误，应为 MM/DD/YYYY。</t>
  </si>
  <si>
    <t>1025</t>
  </si>
  <si>
    <t>The Certificate Version is invalid.</t>
  </si>
  <si>
    <t>versionId</t>
  </si>
  <si>
    <t>证书版本号无效；检查是否超长、重复或格式错误。</t>
  </si>
  <si>
    <t>1028</t>
  </si>
  <si>
    <t>The Product was not found.</t>
  </si>
  <si>
    <t>versionIdToUpdate</t>
  </si>
  <si>
    <t>更新目标产品/版本未找到；检查 productUpdate、primaryProductId、versionIdToUpdate。</t>
  </si>
  <si>
    <t>2002</t>
  </si>
  <si>
    <t>The Name for the &lt;TRADE_PARTY_TYPE&gt; is invalid.</t>
  </si>
  <si>
    <t>&lt;TRADE_PARTY_TYPE&gt;.name</t>
  </si>
  <si>
    <t>贸易相关方名称无效。</t>
  </si>
  <si>
    <t>贸易相关方错误</t>
  </si>
  <si>
    <t>2003</t>
  </si>
  <si>
    <t>The Alternate ID for the &lt;TRADE_PARTY_TYPE&gt; is invalid.</t>
  </si>
  <si>
    <t>&lt;TRADE_PARTY_TYPE&gt;.alternateId</t>
  </si>
  <si>
    <t>贸易相关方 alternateId 无效。</t>
  </si>
  <si>
    <t>2004</t>
  </si>
  <si>
    <t>The GLN for the &lt;TRADE_PARTY_TYPE&gt; is invalid.</t>
  </si>
  <si>
    <t>&lt;TRADE_PARTY_TYPE&gt;.gln</t>
  </si>
  <si>
    <t>贸易相关方 GLN 无效。</t>
  </si>
  <si>
    <t>2005</t>
  </si>
  <si>
    <t>The Alternate ID for the &lt;TRADE_PARTY_TYPE&gt; is already being used by an existing &lt;TRADE_PARTY_TYPE&gt;.</t>
  </si>
  <si>
    <t>alternateId 已被已有贸易方使用；不要重复创建或检查 isNew。</t>
  </si>
  <si>
    <t>2006</t>
  </si>
  <si>
    <t>The GLN for the &lt;TRADE_PARTY_TYPE&gt; is already being used by an existing &lt;TRADE_PARTY_TYPE&gt;.</t>
  </si>
  <si>
    <t>GLN 已被已有贸易方使用；检查 isNew 和关联编号。</t>
  </si>
  <si>
    <t>2007</t>
  </si>
  <si>
    <t>The Address Line 1 for the &lt;TRADE_PARTY_TYPE&gt; is invalid.</t>
  </si>
  <si>
    <t>&lt;TRADE_PARTY_TYPE&gt;.addressLine1</t>
  </si>
  <si>
    <t>地址1无效。</t>
  </si>
  <si>
    <t>2008</t>
  </si>
  <si>
    <t>The Address Line 2 for the &lt;TRADE_PARTY_TYPE&gt; is invalid.</t>
  </si>
  <si>
    <t>&lt;TRADE_PARTY_TYPE&gt;.addressLine2</t>
  </si>
  <si>
    <t>地址2无效。</t>
  </si>
  <si>
    <t>2009</t>
  </si>
  <si>
    <t>The Apartment/Suite Number for the &lt;TRADE_PARTY_TYPE&gt; is invalid.</t>
  </si>
  <si>
    <t>&lt;TRADE_PARTY_TYPE&gt;.aptNumber</t>
  </si>
  <si>
    <t>套间号无效。</t>
  </si>
  <si>
    <t>2010</t>
  </si>
  <si>
    <t>The Country for the &lt;TRADE_PARTY_TYPE&gt; is invalid.</t>
  </si>
  <si>
    <t>&lt;TRADE_PARTY_TYPE&gt;.country</t>
  </si>
  <si>
    <t>国家无效；建议英文国家名。</t>
  </si>
  <si>
    <t>2011</t>
  </si>
  <si>
    <t>The City for the &lt;TRADE_PARTY_TYPE&gt; is invalid.</t>
  </si>
  <si>
    <t>&lt;TRADE_PARTY_TYPE&gt;.city</t>
  </si>
  <si>
    <t>城市无效。</t>
  </si>
  <si>
    <t>2012</t>
  </si>
  <si>
    <t>The State/Province for the &lt;TRADE_PARTY_TYPE&gt; is invalid.</t>
  </si>
  <si>
    <t>&lt;TRADE_PARTY_TYPE&gt;.stateProvince</t>
  </si>
  <si>
    <t>州/省无效。</t>
  </si>
  <si>
    <t>2013</t>
  </si>
  <si>
    <t>The Zip/Postal Code for the &lt;TRADE_PARTY_TYPE&gt; is invalid.</t>
  </si>
  <si>
    <t>&lt;TRADE_PARTY_TYPE&gt;.postalCode</t>
  </si>
  <si>
    <t>邮编无效。</t>
  </si>
  <si>
    <t>2014</t>
  </si>
  <si>
    <t>The Phone Number for the &lt;TRADE_PARTY_TYPE&gt; is invalid.</t>
  </si>
  <si>
    <t>&lt;TRADE_PARTY_TYPE&gt;.phone</t>
  </si>
  <si>
    <t>电话无效。</t>
  </si>
  <si>
    <t>2015</t>
  </si>
  <si>
    <t>The Email Address for the &lt;TRADE_PARTY_TYPE&gt; is invalid.</t>
  </si>
  <si>
    <t>&lt;TRADE_PARTY_TYPE&gt;.email</t>
  </si>
  <si>
    <t>邮箱格式无效。</t>
  </si>
  <si>
    <t>2016</t>
  </si>
  <si>
    <t>The Small Batch Manufacturer ID for the manufacturer is invalid.</t>
  </si>
  <si>
    <t>manufacturer.sbmId</t>
  </si>
  <si>
    <t>小批量制造商 ID 无效。</t>
  </si>
  <si>
    <t>2019</t>
  </si>
  <si>
    <t>The Alternate ID for the &lt;TRADE_PARTY_TYPE&gt; is already being created in a previous bulk row.</t>
  </si>
  <si>
    <t>同一批导入中已有前一行正在创建相同 alternateId。</t>
  </si>
  <si>
    <t>2020</t>
  </si>
  <si>
    <t>The GLN for the &lt;TRADE_PARTY_TYPE&gt; is already being created in a previous bulk row.</t>
  </si>
  <si>
    <t>同一批导入中已有前一行正在创建相同 GLN。</t>
  </si>
  <si>
    <t>2022</t>
  </si>
  <si>
    <t>The Point of Contact for Test Results Records type is invalid.</t>
  </si>
  <si>
    <t>poc.type</t>
  </si>
  <si>
    <t>POC 类型无效；检查枚举。</t>
  </si>
  <si>
    <t>2023</t>
  </si>
  <si>
    <t>The Laboratory Type for the &lt;LAB_NUMBER&gt; is invalid.</t>
  </si>
  <si>
    <t>labs[#].type</t>
  </si>
  <si>
    <t>实验室类型无效；应为 ITL 或 LAB。</t>
  </si>
  <si>
    <t>2024</t>
  </si>
  <si>
    <t>The Alternate ID for the &lt;TRADE_PARTY_TYPE&gt; was not found.</t>
  </si>
  <si>
    <t>系统找不到该 alternateId；如是新建请 isNew=Y。</t>
  </si>
  <si>
    <t>2025</t>
  </si>
  <si>
    <t>The GLN for the &lt;TRADE_PARTY_TYPE&gt; was not found.</t>
  </si>
  <si>
    <t>系统找不到该 GLN；如是新建请 isNew=Y。</t>
  </si>
  <si>
    <t>2026</t>
  </si>
  <si>
    <t>No Labs or Exclusions were specified.</t>
  </si>
  <si>
    <t>N/A</t>
  </si>
  <si>
    <t>没有指定实验室或豁免；产品至少需要实验室信息或豁免信息。</t>
  </si>
  <si>
    <t>测试/引用/豁免错误</t>
  </si>
  <si>
    <t>2027</t>
  </si>
  <si>
    <t>Lab &lt;#&gt; was not found.</t>
  </si>
  <si>
    <t>labs[#].cpscId</t>
  </si>
  <si>
    <t>找不到该实验室；检查 ITL 的 CPSC ID 或 LAB 编号。</t>
  </si>
  <si>
    <t>3002</t>
  </si>
  <si>
    <t>Lab &lt;#&gt; has an invalid Test URL.</t>
  </si>
  <si>
    <t>labs[#].testURL</t>
  </si>
  <si>
    <t>测试报告 URL 无效。</t>
  </si>
  <si>
    <t>3003</t>
  </si>
  <si>
    <t>Lab &lt;#&gt; has an invalid Test Report ID.</t>
  </si>
  <si>
    <t>labs[#].testReportId</t>
  </si>
  <si>
    <t>测试报告 ID 无效。</t>
  </si>
  <si>
    <t>3004</t>
  </si>
  <si>
    <t>Lab &lt;#&gt; has an invalid Test Report Access Key.</t>
  </si>
  <si>
    <t>labs[#].testReportAccessKey</t>
  </si>
  <si>
    <t>测试报告访问密码无效。</t>
  </si>
  <si>
    <t>3005</t>
  </si>
  <si>
    <t>Lab &lt;#&gt; has an invalid Component Description.</t>
  </si>
  <si>
    <t>labs[#].componentDescription</t>
  </si>
  <si>
    <t>部件说明无效。</t>
  </si>
  <si>
    <t>3006</t>
  </si>
  <si>
    <t>Lab &lt;#&gt; could not find citation &lt;#&gt;.</t>
  </si>
  <si>
    <t>labs[#].citationCodes</t>
  </si>
  <si>
    <t>找不到该 citation code；检查法规代码。</t>
  </si>
  <si>
    <t>3007</t>
  </si>
  <si>
    <t>Lab &lt;#&gt; does not have a citation specified.</t>
  </si>
  <si>
    <t>实验室没有填写 citation code。</t>
  </si>
  <si>
    <t>3008</t>
  </si>
  <si>
    <t>Testing exclusion code not recognized.</t>
  </si>
  <si>
    <t>exemptions</t>
  </si>
  <si>
    <t>豁免条款代码无法识别。</t>
  </si>
  <si>
    <t>Excel 到 /import JSON 的映射规则</t>
  </si>
  <si>
    <t>给开发人员读取 Excel 并自动生成 CPSC eFiling API JSON 使用。</t>
  </si>
  <si>
    <t>Excel来源</t>
  </si>
  <si>
    <t>业务字段</t>
  </si>
  <si>
    <t>JSON生成规则</t>
  </si>
  <si>
    <t>00_填写说明</t>
  </si>
  <si>
    <t>作为 /import 参数传入。</t>
  </si>
  <si>
    <t>不放入 productList。</t>
  </si>
  <si>
    <t>必须有权限。</t>
  </si>
  <si>
    <t>作为 /import 可选参数传入。</t>
  </si>
  <si>
    <t>仅 Certifier 权限可 true。</t>
  </si>
  <si>
    <t>每行产品</t>
  </si>
  <si>
    <t>productList[]</t>
  </si>
  <si>
    <t>每行生成一个 productList 元素。</t>
  </si>
  <si>
    <t>空白行跳过。</t>
  </si>
  <si>
    <t>产品主体字段</t>
  </si>
  <si>
    <t>coreProduct</t>
  </si>
  <si>
    <t>产品基本信息写入 coreProduct。</t>
  </si>
  <si>
    <t>产品唯一ID=primaryProductId。</t>
  </si>
  <si>
    <t>新增=N，更新=Y。</t>
  </si>
  <si>
    <t>更新时必须填 versionIdToUpdate。</t>
  </si>
  <si>
    <t>其他标识</t>
  </si>
  <si>
    <t>coreProduct.identifiers</t>
  </si>
  <si>
    <t>GTIN/UPC/SKU/Model #/Serial #/Registered #/Alternate ID 生成数组。</t>
  </si>
  <si>
    <t>不要修改 identType。</t>
  </si>
  <si>
    <t>按产品表制造商编号查找制造商表，并嵌入 manufacturer 对象。</t>
  </si>
  <si>
    <t>同一编号必须唯一。</t>
  </si>
  <si>
    <t>写入 directives.manufacturer。</t>
  </si>
  <si>
    <t>首次 Y，后续 N。</t>
  </si>
  <si>
    <t>实验室记录</t>
  </si>
  <si>
    <t>coreProduct.labs[]</t>
  </si>
  <si>
    <t>按关联产品唯一ID聚合为 labs 数组。</t>
  </si>
  <si>
    <t>同一产品多个实验室时生成多个 labs 元素。</t>
  </si>
  <si>
    <t>将英文逗号分隔内容转为数组。</t>
  </si>
  <si>
    <t>至少一个。</t>
  </si>
  <si>
    <t>directives.labs[]</t>
  </si>
  <si>
    <t>与 labs 顺序一致生成 directives.labs。</t>
  </si>
  <si>
    <t>isNew/alternateId 要与 coreProduct.labs 对应。</t>
  </si>
  <si>
    <t>coreProduct.poc</t>
  </si>
  <si>
    <t>按产品表 POC 编号查找 POC 表，并嵌入 poc 对象。</t>
  </si>
  <si>
    <t>Importer 等类型通常不填地址。</t>
  </si>
  <si>
    <t>directives.poc</t>
  </si>
  <si>
    <t>写入 directives.poc。</t>
  </si>
  <si>
    <t>留空默认 N，但建议明确。</t>
  </si>
  <si>
    <t>coreProduct.exemptions</t>
  </si>
  <si>
    <t>按关联产品唯一ID聚合为 exemptions 数组。</t>
  </si>
  <si>
    <t>没有豁免可为空；至少要有 labs 或 exemptions。</t>
  </si>
  <si>
    <t>系统生成</t>
  </si>
  <si>
    <t>导入日志</t>
  </si>
  <si>
    <t>getImportLog</t>
  </si>
  <si>
    <t>导入完成后用 importId 获取 productList + validations。</t>
  </si>
  <si>
    <t>可回填错误码到客户数据行。</t>
  </si>
  <si>
    <t>ABC-002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</si>
</sst>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name val="Carlito"/>
    </font>
    <font>
      <b/>
      <sz val="16"/>
      <color rgb="FFFFFFFF"/>
      <name val="Carlito"/>
      <family val="2"/>
    </font>
    <font>
      <i/>
      <sz val="10"/>
      <color rgb="FF1F2937"/>
      <name val="Carlito"/>
      <family val="2"/>
    </font>
    <font>
      <b/>
      <sz val="11"/>
      <name val="Carlito"/>
      <family val="2"/>
    </font>
    <font>
      <b/>
      <sz val="11"/>
      <color rgb="FFFFFFFF"/>
      <name val="Carlito"/>
      <family val="2"/>
    </font>
    <font>
      <sz val="8"/>
      <color rgb="FF6B7280"/>
      <name val="Carlito"/>
      <family val="2"/>
    </font>
    <font>
      <b/>
      <sz val="10"/>
      <color rgb="FFFFFFFF"/>
      <name val="Carlito"/>
      <family val="2"/>
    </font>
    <font>
      <sz val="10"/>
      <name val="Carlito"/>
      <family val="2"/>
    </font>
    <font>
      <sz val="9"/>
      <name val="Carlito"/>
      <family val="2"/>
    </font>
    <font>
      <sz val="11"/>
      <name val="Carlito"/>
      <family val="2"/>
    </font>
    <font>
      <sz val="9"/>
      <name val="DengXian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rgb="FF0B3A75"/>
      </patternFill>
    </fill>
    <fill>
      <patternFill patternType="solid">
        <fgColor rgb="FFEAF2F8"/>
      </patternFill>
    </fill>
    <fill>
      <patternFill patternType="solid">
        <fgColor rgb="FFD9EAF7"/>
      </patternFill>
    </fill>
    <fill>
      <patternFill patternType="solid">
        <fgColor rgb="FF1F4E79"/>
      </patternFill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9" fillId="0" borderId="0"/>
  </cellStyleXfs>
  <cellXfs count="11">
    <xf numFmtId="0" fontId="0" fillId="0" borderId="0" xfId="0"/>
    <xf numFmtId="0" fontId="3" fillId="4" borderId="0" xfId="1" applyNumberFormat="1" applyFont="1" applyFill="1" applyBorder="1" applyAlignment="1">
      <alignment wrapText="1"/>
    </xf>
    <xf numFmtId="0" fontId="0" fillId="0" borderId="0" xfId="1" applyNumberFormat="1" applyFont="1" applyFill="1" applyBorder="1" applyAlignment="1">
      <alignment wrapText="1"/>
    </xf>
    <xf numFmtId="0" fontId="4" fillId="5" borderId="0" xfId="1" applyNumberFormat="1" applyFont="1" applyFill="1" applyBorder="1" applyAlignment="1">
      <alignment horizontal="center"/>
    </xf>
    <xf numFmtId="0" fontId="5" fillId="6" borderId="0" xfId="1" applyNumberFormat="1" applyFont="1" applyFill="1" applyBorder="1" applyAlignment="1">
      <alignment horizontal="center" vertical="center" wrapText="1"/>
    </xf>
    <xf numFmtId="0" fontId="6" fillId="5" borderId="0" xfId="1" applyNumberFormat="1" applyFont="1" applyFill="1" applyBorder="1" applyAlignment="1">
      <alignment horizontal="center" vertical="center" wrapText="1"/>
    </xf>
    <xf numFmtId="0" fontId="7" fillId="0" borderId="0" xfId="1" applyNumberFormat="1" applyFont="1" applyFill="1" applyBorder="1" applyAlignment="1">
      <alignment vertical="top" wrapText="1"/>
    </xf>
    <xf numFmtId="0" fontId="8" fillId="0" borderId="0" xfId="1" applyNumberFormat="1" applyFont="1" applyFill="1" applyBorder="1" applyAlignment="1">
      <alignment vertical="top" wrapText="1"/>
    </xf>
    <xf numFmtId="0" fontId="1" fillId="2" borderId="0" xfId="1" applyNumberFormat="1" applyFont="1" applyFill="1" applyBorder="1" applyAlignment="1">
      <alignment horizontal="left" vertical="center"/>
    </xf>
    <xf numFmtId="0" fontId="0" fillId="0" borderId="0" xfId="0"/>
    <xf numFmtId="0" fontId="2" fillId="3" borderId="0" xfId="1" applyNumberFormat="1" applyFont="1" applyFill="1" applyBorder="1" applyAlignment="1">
      <alignment vertical="center" wrapText="1"/>
    </xf>
  </cellXfs>
  <cellStyles count="2">
    <cellStyle name="Normal" xfId="1"/>
    <cellStyle name="常规" xfId="0" builtinId="0"/>
  </cellStyles>
  <dxfs count="14"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color rgb="FF075985"/>
      </font>
      <fill>
        <patternFill patternType="solid">
          <bgColor rgb="FFE0F2FE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91B1B"/>
      </font>
      <fill>
        <patternFill patternType="solid">
          <bgColor rgb="FFFEE2E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id="1" name="FieldDictionary" displayName="FieldDictionary" ref="A4:J81">
  <tableColumns count="10">
    <tableColumn id="1" name="模块/Sheet"/>
    <tableColumn id="2" name="API字段路径"/>
    <tableColumn id="3" name="中文名称"/>
    <tableColumn id="4" name="是否必填"/>
    <tableColumn id="5" name="最大长度"/>
    <tableColumn id="6" name="格式/可选值"/>
    <tableColumn id="7" name="中文解释"/>
    <tableColumn id="8" name="注意事项"/>
    <tableColumn id="9" name="设定提示"/>
    <tableColumn id="10" name="示例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ropdownOptions" displayName="DropdownOptions" ref="A4:F47">
  <tableColumns count="6">
    <tableColumn id="1" name="选项组"/>
    <tableColumn id="2" name="可选值"/>
    <tableColumn id="3" name="中文说明"/>
    <tableColumn id="4" name="注意事项"/>
    <tableColumn id="5" name="建议默认值"/>
    <tableColumn id="6" name="API字段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ErrorCodes" displayName="ErrorCodes" ref="A4:E58">
  <tableColumns count="5">
    <tableColumn id="1" name="错误码"/>
    <tableColumn id="2" name="错误信息英文"/>
    <tableColumn id="3" name="错误字段"/>
    <tableColumn id="4" name="中文解释/处理建议"/>
    <tableColumn id="5" name="类别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JsonMapping" displayName="JsonMapping" ref="A4:E20">
  <tableColumns count="5">
    <tableColumn id="1" name="Excel来源"/>
    <tableColumn id="2" name="业务字段"/>
    <tableColumn id="3" name="API字段路径"/>
    <tableColumn id="4" name="JSON生成规则"/>
    <tableColumn id="5" name="注意事项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workbookViewId="0">
      <selection activeCell="B27" sqref="B27"/>
    </sheetView>
  </sheetViews>
  <sheetFormatPr defaultRowHeight="14.25" x14ac:dyDescent="0.45"/>
  <cols>
    <col min="1" max="1" width="24" customWidth="1"/>
    <col min="2" max="2" width="100" customWidth="1"/>
    <col min="4" max="4" width="20" customWidth="1"/>
    <col min="5" max="5" width="18" customWidth="1"/>
    <col min="6" max="6" width="22" customWidth="1"/>
    <col min="7" max="7" width="48" customWidth="1"/>
  </cols>
  <sheetData>
    <row r="1" spans="1:8" ht="14" customHeight="1" x14ac:dyDescent="0.45">
      <c r="A1" s="8" t="s">
        <v>0</v>
      </c>
      <c r="B1" s="9"/>
      <c r="C1" s="9"/>
      <c r="D1" s="9"/>
      <c r="E1" s="9"/>
      <c r="F1" s="9"/>
      <c r="G1" s="9"/>
      <c r="H1" s="9"/>
    </row>
    <row r="2" spans="1:8" ht="16.05" customHeight="1" x14ac:dyDescent="0.45">
      <c r="A2" s="10" t="s">
        <v>1</v>
      </c>
      <c r="B2" s="9"/>
      <c r="C2" s="9"/>
      <c r="D2" s="9"/>
      <c r="E2" s="9"/>
      <c r="F2" s="9"/>
      <c r="G2" s="9"/>
      <c r="H2" s="9"/>
    </row>
    <row r="4" spans="1:8" x14ac:dyDescent="0.45">
      <c r="A4" s="1" t="s">
        <v>2</v>
      </c>
      <c r="B4" s="2" t="s">
        <v>3</v>
      </c>
      <c r="D4" s="3" t="s">
        <v>4</v>
      </c>
      <c r="E4" s="3" t="s">
        <v>5</v>
      </c>
      <c r="F4" s="3" t="s">
        <v>6</v>
      </c>
      <c r="G4" s="3" t="s">
        <v>7</v>
      </c>
    </row>
    <row r="5" spans="1:8" x14ac:dyDescent="0.45">
      <c r="A5" s="1" t="s">
        <v>8</v>
      </c>
      <c r="B5" s="2" t="s">
        <v>9</v>
      </c>
      <c r="D5" s="2" t="s">
        <v>10</v>
      </c>
      <c r="E5" s="2" t="s">
        <v>11</v>
      </c>
      <c r="F5" s="2"/>
      <c r="G5" s="2" t="s">
        <v>12</v>
      </c>
    </row>
    <row r="6" spans="1:8" ht="28.5" x14ac:dyDescent="0.45">
      <c r="A6" s="1" t="s">
        <v>13</v>
      </c>
      <c r="B6" s="2" t="s">
        <v>14</v>
      </c>
      <c r="D6" s="2" t="s">
        <v>15</v>
      </c>
      <c r="E6" s="2" t="s">
        <v>16</v>
      </c>
      <c r="F6" s="2"/>
      <c r="G6" s="2" t="s">
        <v>17</v>
      </c>
    </row>
    <row r="7" spans="1:8" x14ac:dyDescent="0.45">
      <c r="A7" s="1" t="s">
        <v>18</v>
      </c>
      <c r="B7" s="2" t="s">
        <v>19</v>
      </c>
      <c r="D7" s="2" t="s">
        <v>20</v>
      </c>
      <c r="E7" s="2" t="s">
        <v>21</v>
      </c>
      <c r="F7" s="2" t="s">
        <v>22</v>
      </c>
      <c r="G7" s="2" t="s">
        <v>23</v>
      </c>
    </row>
    <row r="8" spans="1:8" x14ac:dyDescent="0.45">
      <c r="A8" s="1" t="s">
        <v>24</v>
      </c>
      <c r="B8" s="2" t="s">
        <v>25</v>
      </c>
      <c r="D8" s="2" t="s">
        <v>26</v>
      </c>
      <c r="E8" s="2" t="s">
        <v>27</v>
      </c>
      <c r="F8" s="2" t="s">
        <v>28</v>
      </c>
      <c r="G8" s="2" t="s">
        <v>29</v>
      </c>
    </row>
    <row r="9" spans="1:8" ht="28.5" x14ac:dyDescent="0.45">
      <c r="A9" s="1" t="s">
        <v>30</v>
      </c>
      <c r="B9" s="2" t="s">
        <v>31</v>
      </c>
      <c r="D9" s="2" t="s">
        <v>32</v>
      </c>
      <c r="E9" s="2" t="s">
        <v>33</v>
      </c>
      <c r="F9" s="2" t="s">
        <v>28</v>
      </c>
      <c r="G9" s="2" t="s">
        <v>29</v>
      </c>
    </row>
    <row r="10" spans="1:8" x14ac:dyDescent="0.45">
      <c r="A10" s="1" t="s">
        <v>34</v>
      </c>
      <c r="B10" s="2" t="s">
        <v>35</v>
      </c>
    </row>
    <row r="11" spans="1:8" ht="28.5" x14ac:dyDescent="0.45">
      <c r="A11" s="1" t="s">
        <v>36</v>
      </c>
      <c r="B11" s="2" t="s">
        <v>37</v>
      </c>
    </row>
    <row r="12" spans="1:8" x14ac:dyDescent="0.45">
      <c r="A12" s="1" t="s">
        <v>38</v>
      </c>
      <c r="B12" s="2" t="s">
        <v>39</v>
      </c>
    </row>
    <row r="13" spans="1:8" x14ac:dyDescent="0.45">
      <c r="A13" s="1" t="s">
        <v>40</v>
      </c>
      <c r="B13" s="2" t="s">
        <v>41</v>
      </c>
    </row>
    <row r="14" spans="1:8" x14ac:dyDescent="0.45">
      <c r="A14" s="1" t="s">
        <v>42</v>
      </c>
      <c r="B14" s="2" t="s">
        <v>43</v>
      </c>
    </row>
    <row r="15" spans="1:8" x14ac:dyDescent="0.45">
      <c r="A15" s="1" t="s">
        <v>44</v>
      </c>
      <c r="B15" s="2" t="s">
        <v>45</v>
      </c>
    </row>
    <row r="16" spans="1:8" ht="28.5" x14ac:dyDescent="0.45">
      <c r="A16" s="1" t="s">
        <v>46</v>
      </c>
      <c r="B16" s="2" t="s">
        <v>47</v>
      </c>
    </row>
    <row r="17" spans="1:2" x14ac:dyDescent="0.45">
      <c r="A17" s="1" t="s">
        <v>48</v>
      </c>
      <c r="B17" s="2" t="s">
        <v>49</v>
      </c>
    </row>
    <row r="18" spans="1:2" x14ac:dyDescent="0.45">
      <c r="A18" s="1" t="s">
        <v>50</v>
      </c>
      <c r="B18" s="2" t="s">
        <v>51</v>
      </c>
    </row>
    <row r="19" spans="1:2" x14ac:dyDescent="0.45">
      <c r="A19" s="1" t="s">
        <v>52</v>
      </c>
      <c r="B19" s="2" t="s">
        <v>53</v>
      </c>
    </row>
    <row r="20" spans="1:2" x14ac:dyDescent="0.45">
      <c r="A20" t="s">
        <v>54</v>
      </c>
      <c r="B20" t="s">
        <v>55</v>
      </c>
    </row>
  </sheetData>
  <mergeCells count="2">
    <mergeCell ref="A1:H1"/>
    <mergeCell ref="A2:H2"/>
  </mergeCells>
  <phoneticPr fontId="10" type="noConversion"/>
  <dataValidations count="1">
    <dataValidation type="list" sqref="F7">
      <formula1>"false,true"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05"/>
  <sheetViews>
    <sheetView tabSelected="1" workbookViewId="0">
      <selection activeCell="K7" sqref="K7"/>
    </sheetView>
  </sheetViews>
  <sheetFormatPr defaultRowHeight="14.25" x14ac:dyDescent="0.45"/>
  <cols>
    <col min="1" max="2" width="14" customWidth="1"/>
    <col min="3" max="7" width="18" customWidth="1"/>
    <col min="8" max="10" width="14" customWidth="1"/>
    <col min="11" max="14" width="18" customWidth="1"/>
    <col min="15" max="17" width="14" customWidth="1"/>
    <col min="18" max="18" width="28" customWidth="1"/>
    <col min="19" max="21" width="14" customWidth="1"/>
    <col min="22" max="23" width="18" customWidth="1"/>
    <col min="24" max="24" width="14" customWidth="1"/>
    <col min="25" max="28" width="18" customWidth="1"/>
    <col min="29" max="29" width="28" customWidth="1"/>
    <col min="30" max="30" width="16" customWidth="1"/>
  </cols>
  <sheetData>
    <row r="1" spans="1:30" ht="14" customHeight="1" x14ac:dyDescent="0.45">
      <c r="A1" s="8" t="s">
        <v>56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</row>
    <row r="2" spans="1:30" ht="16.05" customHeight="1" x14ac:dyDescent="0.45">
      <c r="A2" s="10" t="s">
        <v>57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</row>
    <row r="3" spans="1:30" ht="14" customHeight="1" x14ac:dyDescent="0.45">
      <c r="A3" s="4" t="s">
        <v>58</v>
      </c>
      <c r="B3" s="4" t="s">
        <v>59</v>
      </c>
      <c r="C3" s="4" t="s">
        <v>60</v>
      </c>
      <c r="D3" s="4" t="s">
        <v>61</v>
      </c>
      <c r="E3" s="4" t="s">
        <v>62</v>
      </c>
      <c r="F3" s="4" t="s">
        <v>63</v>
      </c>
      <c r="G3" s="4" t="s">
        <v>64</v>
      </c>
      <c r="H3" s="4" t="s">
        <v>65</v>
      </c>
      <c r="I3" s="4" t="s">
        <v>65</v>
      </c>
      <c r="J3" s="4" t="s">
        <v>65</v>
      </c>
      <c r="K3" s="4" t="s">
        <v>65</v>
      </c>
      <c r="L3" s="4" t="s">
        <v>65</v>
      </c>
      <c r="M3" s="4" t="s">
        <v>65</v>
      </c>
      <c r="N3" s="4" t="s">
        <v>65</v>
      </c>
      <c r="O3" s="4" t="s">
        <v>66</v>
      </c>
      <c r="P3" s="4" t="s">
        <v>67</v>
      </c>
      <c r="Q3" s="4" t="s">
        <v>65</v>
      </c>
      <c r="R3" s="4" t="s">
        <v>68</v>
      </c>
      <c r="S3" s="4" t="s">
        <v>65</v>
      </c>
      <c r="T3" s="4" t="s">
        <v>65</v>
      </c>
      <c r="U3" s="4" t="s">
        <v>69</v>
      </c>
      <c r="V3" s="4" t="s">
        <v>70</v>
      </c>
      <c r="W3" s="4" t="s">
        <v>70</v>
      </c>
      <c r="X3" s="4" t="s">
        <v>71</v>
      </c>
      <c r="Y3" s="4" t="s">
        <v>72</v>
      </c>
      <c r="Z3" s="4" t="s">
        <v>73</v>
      </c>
      <c r="AA3" s="4" t="s">
        <v>74</v>
      </c>
      <c r="AB3" s="4" t="s">
        <v>75</v>
      </c>
      <c r="AC3" s="4" t="s">
        <v>76</v>
      </c>
      <c r="AD3" s="4" t="s">
        <v>77</v>
      </c>
    </row>
    <row r="4" spans="1:30" ht="14" customHeight="1" x14ac:dyDescent="0.45">
      <c r="A4" s="4" t="s">
        <v>78</v>
      </c>
      <c r="B4" s="4" t="s">
        <v>79</v>
      </c>
      <c r="C4" s="4" t="s">
        <v>79</v>
      </c>
      <c r="D4" s="4" t="s">
        <v>80</v>
      </c>
      <c r="E4" s="4" t="s">
        <v>81</v>
      </c>
      <c r="F4" s="4" t="s">
        <v>82</v>
      </c>
      <c r="G4" s="4" t="s">
        <v>83</v>
      </c>
      <c r="H4" s="4" t="s">
        <v>84</v>
      </c>
      <c r="I4" s="4" t="s">
        <v>85</v>
      </c>
      <c r="J4" s="4" t="s">
        <v>86</v>
      </c>
      <c r="K4" s="4" t="s">
        <v>87</v>
      </c>
      <c r="L4" s="4" t="s">
        <v>88</v>
      </c>
      <c r="M4" s="4" t="s">
        <v>89</v>
      </c>
      <c r="N4" s="4" t="s">
        <v>90</v>
      </c>
      <c r="O4" s="4" t="s">
        <v>91</v>
      </c>
      <c r="P4" s="4" t="s">
        <v>92</v>
      </c>
      <c r="Q4" s="4" t="s">
        <v>93</v>
      </c>
      <c r="R4" s="4" t="s">
        <v>94</v>
      </c>
      <c r="S4" s="4" t="s">
        <v>95</v>
      </c>
      <c r="T4" s="4" t="s">
        <v>96</v>
      </c>
      <c r="U4" s="4" t="s">
        <v>97</v>
      </c>
      <c r="V4" s="4" t="s">
        <v>98</v>
      </c>
      <c r="W4" s="4" t="s">
        <v>99</v>
      </c>
      <c r="X4" s="4" t="s">
        <v>100</v>
      </c>
      <c r="Y4" s="4" t="s">
        <v>101</v>
      </c>
      <c r="Z4" s="4" t="s">
        <v>102</v>
      </c>
      <c r="AA4" s="4" t="s">
        <v>103</v>
      </c>
      <c r="AB4" s="4" t="s">
        <v>104</v>
      </c>
      <c r="AC4" s="4" t="s">
        <v>105</v>
      </c>
      <c r="AD4" s="4" t="s">
        <v>106</v>
      </c>
    </row>
    <row r="5" spans="1:30" ht="18" customHeight="1" x14ac:dyDescent="0.45">
      <c r="A5" s="5" t="s">
        <v>107</v>
      </c>
      <c r="B5" s="5" t="s">
        <v>108</v>
      </c>
      <c r="C5" s="5" t="s">
        <v>109</v>
      </c>
      <c r="D5" s="5" t="s">
        <v>110</v>
      </c>
      <c r="E5" s="5" t="s">
        <v>111</v>
      </c>
      <c r="F5" s="5" t="s">
        <v>112</v>
      </c>
      <c r="G5" s="5" t="s">
        <v>113</v>
      </c>
      <c r="H5" s="5" t="s">
        <v>114</v>
      </c>
      <c r="I5" s="5" t="s">
        <v>115</v>
      </c>
      <c r="J5" s="5" t="s">
        <v>116</v>
      </c>
      <c r="K5" s="5" t="s">
        <v>117</v>
      </c>
      <c r="L5" s="5" t="s">
        <v>118</v>
      </c>
      <c r="M5" s="5" t="s">
        <v>119</v>
      </c>
      <c r="N5" s="5" t="s">
        <v>120</v>
      </c>
      <c r="O5" s="5" t="s">
        <v>121</v>
      </c>
      <c r="P5" s="5" t="s">
        <v>122</v>
      </c>
      <c r="Q5" s="5" t="s">
        <v>123</v>
      </c>
      <c r="R5" s="5" t="s">
        <v>124</v>
      </c>
      <c r="S5" s="5" t="s">
        <v>125</v>
      </c>
      <c r="T5" s="5" t="s">
        <v>126</v>
      </c>
      <c r="U5" s="5" t="s">
        <v>127</v>
      </c>
      <c r="V5" s="5" t="s">
        <v>128</v>
      </c>
      <c r="W5" s="5" t="s">
        <v>129</v>
      </c>
      <c r="X5" s="5" t="s">
        <v>130</v>
      </c>
      <c r="Y5" s="5" t="s">
        <v>131</v>
      </c>
      <c r="Z5" s="5" t="s">
        <v>132</v>
      </c>
      <c r="AA5" s="5" t="s">
        <v>133</v>
      </c>
      <c r="AB5" s="5" t="s">
        <v>134</v>
      </c>
      <c r="AC5" s="5" t="s">
        <v>135</v>
      </c>
      <c r="AD5" s="5" t="s">
        <v>136</v>
      </c>
    </row>
    <row r="6" spans="1:30" ht="16.05" customHeight="1" x14ac:dyDescent="0.45">
      <c r="A6" s="6" t="s">
        <v>137</v>
      </c>
      <c r="B6" s="6" t="s">
        <v>138</v>
      </c>
      <c r="C6" s="6" t="s">
        <v>139</v>
      </c>
      <c r="D6" s="6" t="s">
        <v>140</v>
      </c>
      <c r="E6" s="6"/>
      <c r="F6" s="6" t="s">
        <v>141</v>
      </c>
      <c r="G6" s="6" t="s">
        <v>117</v>
      </c>
      <c r="H6" s="6"/>
      <c r="I6" s="6"/>
      <c r="J6" s="6"/>
      <c r="K6" s="6" t="s">
        <v>141</v>
      </c>
      <c r="L6" s="6"/>
      <c r="M6" s="6"/>
      <c r="N6" s="6"/>
      <c r="O6" s="6" t="s">
        <v>142</v>
      </c>
      <c r="P6" s="6" t="s">
        <v>143</v>
      </c>
      <c r="Q6" s="6" t="s">
        <v>144</v>
      </c>
      <c r="R6" s="6" t="s">
        <v>145</v>
      </c>
      <c r="S6" s="6" t="s">
        <v>146</v>
      </c>
      <c r="T6" s="6" t="s">
        <v>147</v>
      </c>
      <c r="U6" s="6" t="s">
        <v>148</v>
      </c>
      <c r="V6" s="6" t="s">
        <v>149</v>
      </c>
      <c r="W6" s="6" t="s">
        <v>150</v>
      </c>
      <c r="X6" s="6" t="s">
        <v>151</v>
      </c>
      <c r="Y6" s="6" t="s">
        <v>152</v>
      </c>
      <c r="Z6" s="6" t="s">
        <v>153</v>
      </c>
      <c r="AA6" s="6" t="s">
        <v>154</v>
      </c>
      <c r="AB6" s="6" t="s">
        <v>155</v>
      </c>
      <c r="AC6" s="6" t="s">
        <v>156</v>
      </c>
      <c r="AD6" s="6" t="str">
        <f t="shared" ref="AD6:AD37" si="0">IF((--(A6&lt;&gt;"")+--(C6&lt;&gt;"")+--(D6&lt;&gt;"")+--(F6&lt;&gt;"")+--(G6&lt;&gt;"")+--(O6&lt;&gt;"")+--(P6&lt;&gt;"")+--(U6&lt;&gt;"")+--(Z6&lt;&gt;"")+--(AA6&lt;&gt;""))=10,"OK","缺必填")</f>
        <v>OK</v>
      </c>
    </row>
    <row r="7" spans="1:30" ht="16.05" customHeight="1" x14ac:dyDescent="0.45">
      <c r="A7" s="6">
        <v>2</v>
      </c>
      <c r="B7" s="6" t="s">
        <v>138</v>
      </c>
      <c r="C7" s="6" t="s">
        <v>139</v>
      </c>
      <c r="D7" s="6" t="s">
        <v>140</v>
      </c>
      <c r="E7" s="6"/>
      <c r="F7" s="6" t="s">
        <v>926</v>
      </c>
      <c r="G7" s="6" t="s">
        <v>117</v>
      </c>
      <c r="H7" s="6"/>
      <c r="I7" s="6"/>
      <c r="J7" s="6"/>
      <c r="K7" s="6" t="s">
        <v>926</v>
      </c>
      <c r="L7" s="6"/>
      <c r="M7" s="6"/>
      <c r="N7" s="6"/>
      <c r="O7" s="6" t="s">
        <v>142</v>
      </c>
      <c r="P7" s="6" t="s">
        <v>143</v>
      </c>
      <c r="Q7" s="6" t="s">
        <v>144</v>
      </c>
      <c r="R7" s="6" t="s">
        <v>145</v>
      </c>
      <c r="S7" s="6" t="s">
        <v>146</v>
      </c>
      <c r="T7" s="6" t="s">
        <v>147</v>
      </c>
      <c r="U7" s="6" t="s">
        <v>148</v>
      </c>
      <c r="V7" s="6" t="s">
        <v>149</v>
      </c>
      <c r="W7" s="6" t="s">
        <v>150</v>
      </c>
      <c r="X7" s="6" t="s">
        <v>151</v>
      </c>
      <c r="Y7" s="6" t="s">
        <v>152</v>
      </c>
      <c r="Z7" s="6" t="s">
        <v>153</v>
      </c>
      <c r="AA7" s="6" t="s">
        <v>154</v>
      </c>
      <c r="AB7" s="6" t="s">
        <v>155</v>
      </c>
      <c r="AC7" s="6" t="s">
        <v>156</v>
      </c>
      <c r="AD7" s="6" t="str">
        <f t="shared" ref="AD7" si="1">IF((--(A7&lt;&gt;"")+--(C7&lt;&gt;"")+--(D7&lt;&gt;"")+--(F7&lt;&gt;"")+--(G7&lt;&gt;"")+--(O7&lt;&gt;"")+--(P7&lt;&gt;"")+--(U7&lt;&gt;"")+--(Z7&lt;&gt;"")+--(AA7&lt;&gt;""))=10,"OK","缺必填")</f>
        <v>OK</v>
      </c>
    </row>
    <row r="8" spans="1:30" ht="16.05" customHeight="1" x14ac:dyDescent="0.4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 t="str">
        <f t="shared" si="0"/>
        <v>缺必填</v>
      </c>
    </row>
    <row r="9" spans="1:30" ht="16.05" customHeight="1" x14ac:dyDescent="0.4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 t="str">
        <f t="shared" si="0"/>
        <v>缺必填</v>
      </c>
    </row>
    <row r="10" spans="1:30" ht="16.05" customHeight="1" x14ac:dyDescent="0.4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 t="str">
        <f t="shared" si="0"/>
        <v>缺必填</v>
      </c>
    </row>
    <row r="11" spans="1:30" ht="16.05" customHeight="1" x14ac:dyDescent="0.4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 t="str">
        <f t="shared" si="0"/>
        <v>缺必填</v>
      </c>
    </row>
    <row r="12" spans="1:30" ht="16.05" customHeight="1" x14ac:dyDescent="0.4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 t="str">
        <f t="shared" si="0"/>
        <v>缺必填</v>
      </c>
    </row>
    <row r="13" spans="1:30" ht="16.05" customHeight="1" x14ac:dyDescent="0.4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 t="str">
        <f t="shared" si="0"/>
        <v>缺必填</v>
      </c>
    </row>
    <row r="14" spans="1:30" ht="16.05" customHeight="1" x14ac:dyDescent="0.4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 t="str">
        <f t="shared" si="0"/>
        <v>缺必填</v>
      </c>
    </row>
    <row r="15" spans="1:30" ht="16.05" customHeight="1" x14ac:dyDescent="0.4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 t="str">
        <f t="shared" si="0"/>
        <v>缺必填</v>
      </c>
    </row>
    <row r="16" spans="1:30" ht="16.05" customHeight="1" x14ac:dyDescent="0.4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 t="str">
        <f t="shared" si="0"/>
        <v>缺必填</v>
      </c>
    </row>
    <row r="17" spans="1:30" ht="16.05" customHeight="1" x14ac:dyDescent="0.4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 t="str">
        <f t="shared" si="0"/>
        <v>缺必填</v>
      </c>
    </row>
    <row r="18" spans="1:30" ht="16.05" customHeight="1" x14ac:dyDescent="0.4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 t="str">
        <f t="shared" si="0"/>
        <v>缺必填</v>
      </c>
    </row>
    <row r="19" spans="1:30" ht="16.05" customHeight="1" x14ac:dyDescent="0.4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 t="str">
        <f t="shared" si="0"/>
        <v>缺必填</v>
      </c>
    </row>
    <row r="20" spans="1:30" ht="16.05" customHeight="1" x14ac:dyDescent="0.4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 t="str">
        <f t="shared" si="0"/>
        <v>缺必填</v>
      </c>
    </row>
    <row r="21" spans="1:30" ht="16.05" customHeight="1" x14ac:dyDescent="0.4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 t="str">
        <f t="shared" si="0"/>
        <v>缺必填</v>
      </c>
    </row>
    <row r="22" spans="1:30" ht="16.05" customHeight="1" x14ac:dyDescent="0.4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 t="str">
        <f t="shared" si="0"/>
        <v>缺必填</v>
      </c>
    </row>
    <row r="23" spans="1:30" ht="16.05" customHeight="1" x14ac:dyDescent="0.4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 t="str">
        <f t="shared" si="0"/>
        <v>缺必填</v>
      </c>
    </row>
    <row r="24" spans="1:30" ht="16.05" customHeight="1" x14ac:dyDescent="0.4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 t="str">
        <f t="shared" si="0"/>
        <v>缺必填</v>
      </c>
    </row>
    <row r="25" spans="1:30" ht="16.05" customHeight="1" x14ac:dyDescent="0.4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 t="str">
        <f t="shared" si="0"/>
        <v>缺必填</v>
      </c>
    </row>
    <row r="26" spans="1:30" ht="16.05" customHeight="1" x14ac:dyDescent="0.4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 t="str">
        <f t="shared" si="0"/>
        <v>缺必填</v>
      </c>
    </row>
    <row r="27" spans="1:30" ht="16.05" customHeight="1" x14ac:dyDescent="0.4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 t="str">
        <f t="shared" si="0"/>
        <v>缺必填</v>
      </c>
    </row>
    <row r="28" spans="1:30" ht="16.05" customHeight="1" x14ac:dyDescent="0.4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 t="str">
        <f t="shared" si="0"/>
        <v>缺必填</v>
      </c>
    </row>
    <row r="29" spans="1:30" ht="16.05" customHeight="1" x14ac:dyDescent="0.4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 t="str">
        <f t="shared" si="0"/>
        <v>缺必填</v>
      </c>
    </row>
    <row r="30" spans="1:30" ht="16.05" customHeight="1" x14ac:dyDescent="0.4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 t="str">
        <f t="shared" si="0"/>
        <v>缺必填</v>
      </c>
    </row>
    <row r="31" spans="1:30" ht="16.05" customHeight="1" x14ac:dyDescent="0.4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 t="str">
        <f t="shared" si="0"/>
        <v>缺必填</v>
      </c>
    </row>
    <row r="32" spans="1:30" ht="16.05" customHeight="1" x14ac:dyDescent="0.4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 t="str">
        <f t="shared" si="0"/>
        <v>缺必填</v>
      </c>
    </row>
    <row r="33" spans="1:30" ht="16.05" customHeight="1" x14ac:dyDescent="0.4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 t="str">
        <f t="shared" si="0"/>
        <v>缺必填</v>
      </c>
    </row>
    <row r="34" spans="1:30" ht="16.05" customHeight="1" x14ac:dyDescent="0.4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 t="str">
        <f t="shared" si="0"/>
        <v>缺必填</v>
      </c>
    </row>
    <row r="35" spans="1:30" ht="16.05" customHeight="1" x14ac:dyDescent="0.4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 t="str">
        <f t="shared" si="0"/>
        <v>缺必填</v>
      </c>
    </row>
    <row r="36" spans="1:30" ht="16.05" customHeight="1" x14ac:dyDescent="0.4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 t="str">
        <f t="shared" si="0"/>
        <v>缺必填</v>
      </c>
    </row>
    <row r="37" spans="1:30" ht="16.05" customHeight="1" x14ac:dyDescent="0.4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 t="str">
        <f t="shared" si="0"/>
        <v>缺必填</v>
      </c>
    </row>
    <row r="38" spans="1:30" ht="16.05" customHeight="1" x14ac:dyDescent="0.4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 t="str">
        <f t="shared" ref="AD38:AD69" si="2">IF((--(A38&lt;&gt;"")+--(C38&lt;&gt;"")+--(D38&lt;&gt;"")+--(F38&lt;&gt;"")+--(G38&lt;&gt;"")+--(O38&lt;&gt;"")+--(P38&lt;&gt;"")+--(U38&lt;&gt;"")+--(Z38&lt;&gt;"")+--(AA38&lt;&gt;""))=10,"OK","缺必填")</f>
        <v>缺必填</v>
      </c>
    </row>
    <row r="39" spans="1:30" ht="16.05" customHeight="1" x14ac:dyDescent="0.4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 t="str">
        <f t="shared" si="2"/>
        <v>缺必填</v>
      </c>
    </row>
    <row r="40" spans="1:30" ht="16.05" customHeight="1" x14ac:dyDescent="0.4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 t="str">
        <f t="shared" si="2"/>
        <v>缺必填</v>
      </c>
    </row>
    <row r="41" spans="1:30" ht="16.05" customHeight="1" x14ac:dyDescent="0.4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 t="str">
        <f t="shared" si="2"/>
        <v>缺必填</v>
      </c>
    </row>
    <row r="42" spans="1:30" ht="16.05" customHeight="1" x14ac:dyDescent="0.4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 t="str">
        <f t="shared" si="2"/>
        <v>缺必填</v>
      </c>
    </row>
    <row r="43" spans="1:30" ht="16.05" customHeight="1" x14ac:dyDescent="0.4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 t="str">
        <f t="shared" si="2"/>
        <v>缺必填</v>
      </c>
    </row>
    <row r="44" spans="1:30" ht="16.05" customHeight="1" x14ac:dyDescent="0.4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 t="str">
        <f t="shared" si="2"/>
        <v>缺必填</v>
      </c>
    </row>
    <row r="45" spans="1:30" ht="16.05" customHeight="1" x14ac:dyDescent="0.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 t="str">
        <f t="shared" si="2"/>
        <v>缺必填</v>
      </c>
    </row>
    <row r="46" spans="1:30" ht="16.05" customHeight="1" x14ac:dyDescent="0.4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 t="str">
        <f t="shared" si="2"/>
        <v>缺必填</v>
      </c>
    </row>
    <row r="47" spans="1:30" ht="16.05" customHeight="1" x14ac:dyDescent="0.4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 t="str">
        <f t="shared" si="2"/>
        <v>缺必填</v>
      </c>
    </row>
    <row r="48" spans="1:30" ht="16.05" customHeight="1" x14ac:dyDescent="0.4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 t="str">
        <f t="shared" si="2"/>
        <v>缺必填</v>
      </c>
    </row>
    <row r="49" spans="1:30" ht="16.05" customHeight="1" x14ac:dyDescent="0.4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 t="str">
        <f t="shared" si="2"/>
        <v>缺必填</v>
      </c>
    </row>
    <row r="50" spans="1:30" ht="16.05" customHeight="1" x14ac:dyDescent="0.4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 t="str">
        <f t="shared" si="2"/>
        <v>缺必填</v>
      </c>
    </row>
    <row r="51" spans="1:30" ht="16.05" customHeight="1" x14ac:dyDescent="0.4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 t="str">
        <f t="shared" si="2"/>
        <v>缺必填</v>
      </c>
    </row>
    <row r="52" spans="1:30" ht="16.05" customHeight="1" x14ac:dyDescent="0.4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 t="str">
        <f t="shared" si="2"/>
        <v>缺必填</v>
      </c>
    </row>
    <row r="53" spans="1:30" ht="16.05" customHeight="1" x14ac:dyDescent="0.4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 t="str">
        <f t="shared" si="2"/>
        <v>缺必填</v>
      </c>
    </row>
    <row r="54" spans="1:30" ht="16.05" customHeight="1" x14ac:dyDescent="0.4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 t="str">
        <f t="shared" si="2"/>
        <v>缺必填</v>
      </c>
    </row>
    <row r="55" spans="1:30" ht="16.05" customHeight="1" x14ac:dyDescent="0.4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 t="str">
        <f t="shared" si="2"/>
        <v>缺必填</v>
      </c>
    </row>
    <row r="56" spans="1:30" ht="16.05" customHeight="1" x14ac:dyDescent="0.4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 t="str">
        <f t="shared" si="2"/>
        <v>缺必填</v>
      </c>
    </row>
    <row r="57" spans="1:30" ht="16.05" customHeight="1" x14ac:dyDescent="0.4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 t="str">
        <f t="shared" si="2"/>
        <v>缺必填</v>
      </c>
    </row>
    <row r="58" spans="1:30" ht="16.05" customHeight="1" x14ac:dyDescent="0.4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 t="str">
        <f t="shared" si="2"/>
        <v>缺必填</v>
      </c>
    </row>
    <row r="59" spans="1:30" ht="16.05" customHeight="1" x14ac:dyDescent="0.4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 t="str">
        <f t="shared" si="2"/>
        <v>缺必填</v>
      </c>
    </row>
    <row r="60" spans="1:30" ht="16.05" customHeight="1" x14ac:dyDescent="0.4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 t="str">
        <f t="shared" si="2"/>
        <v>缺必填</v>
      </c>
    </row>
    <row r="61" spans="1:30" ht="16.05" customHeight="1" x14ac:dyDescent="0.4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 t="str">
        <f t="shared" si="2"/>
        <v>缺必填</v>
      </c>
    </row>
    <row r="62" spans="1:30" ht="16.05" customHeight="1" x14ac:dyDescent="0.4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 t="str">
        <f t="shared" si="2"/>
        <v>缺必填</v>
      </c>
    </row>
    <row r="63" spans="1:30" ht="16.05" customHeight="1" x14ac:dyDescent="0.4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 t="str">
        <f t="shared" si="2"/>
        <v>缺必填</v>
      </c>
    </row>
    <row r="64" spans="1:30" ht="16.05" customHeight="1" x14ac:dyDescent="0.4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 t="str">
        <f t="shared" si="2"/>
        <v>缺必填</v>
      </c>
    </row>
    <row r="65" spans="1:30" ht="16.05" customHeight="1" x14ac:dyDescent="0.4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 t="str">
        <f t="shared" si="2"/>
        <v>缺必填</v>
      </c>
    </row>
    <row r="66" spans="1:30" ht="16.05" customHeight="1" x14ac:dyDescent="0.4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 t="str">
        <f t="shared" si="2"/>
        <v>缺必填</v>
      </c>
    </row>
    <row r="67" spans="1:30" ht="16.05" customHeight="1" x14ac:dyDescent="0.4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 t="str">
        <f t="shared" si="2"/>
        <v>缺必填</v>
      </c>
    </row>
    <row r="68" spans="1:30" ht="16.05" customHeight="1" x14ac:dyDescent="0.4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 t="str">
        <f t="shared" si="2"/>
        <v>缺必填</v>
      </c>
    </row>
    <row r="69" spans="1:30" ht="16.05" customHeight="1" x14ac:dyDescent="0.4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 t="str">
        <f t="shared" si="2"/>
        <v>缺必填</v>
      </c>
    </row>
    <row r="70" spans="1:30" ht="16.05" customHeight="1" x14ac:dyDescent="0.4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 t="str">
        <f t="shared" ref="AD70:AD101" si="3">IF((--(A70&lt;&gt;"")+--(C70&lt;&gt;"")+--(D70&lt;&gt;"")+--(F70&lt;&gt;"")+--(G70&lt;&gt;"")+--(O70&lt;&gt;"")+--(P70&lt;&gt;"")+--(U70&lt;&gt;"")+--(Z70&lt;&gt;"")+--(AA70&lt;&gt;""))=10,"OK","缺必填")</f>
        <v>缺必填</v>
      </c>
    </row>
    <row r="71" spans="1:30" ht="16.05" customHeight="1" x14ac:dyDescent="0.4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 t="str">
        <f t="shared" si="3"/>
        <v>缺必填</v>
      </c>
    </row>
    <row r="72" spans="1:30" ht="16.05" customHeight="1" x14ac:dyDescent="0.4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 t="str">
        <f t="shared" si="3"/>
        <v>缺必填</v>
      </c>
    </row>
    <row r="73" spans="1:30" ht="16.05" customHeight="1" x14ac:dyDescent="0.4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 t="str">
        <f t="shared" si="3"/>
        <v>缺必填</v>
      </c>
    </row>
    <row r="74" spans="1:30" ht="16.05" customHeight="1" x14ac:dyDescent="0.4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 t="str">
        <f t="shared" si="3"/>
        <v>缺必填</v>
      </c>
    </row>
    <row r="75" spans="1:30" ht="16.05" customHeight="1" x14ac:dyDescent="0.4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 t="str">
        <f t="shared" si="3"/>
        <v>缺必填</v>
      </c>
    </row>
    <row r="76" spans="1:30" ht="16.05" customHeight="1" x14ac:dyDescent="0.4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 t="str">
        <f t="shared" si="3"/>
        <v>缺必填</v>
      </c>
    </row>
    <row r="77" spans="1:30" ht="16.05" customHeight="1" x14ac:dyDescent="0.4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 t="str">
        <f t="shared" si="3"/>
        <v>缺必填</v>
      </c>
    </row>
    <row r="78" spans="1:30" ht="16.05" customHeight="1" x14ac:dyDescent="0.4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 t="str">
        <f t="shared" si="3"/>
        <v>缺必填</v>
      </c>
    </row>
    <row r="79" spans="1:30" ht="16.05" customHeight="1" x14ac:dyDescent="0.4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 t="str">
        <f t="shared" si="3"/>
        <v>缺必填</v>
      </c>
    </row>
    <row r="80" spans="1:30" ht="16.05" customHeight="1" x14ac:dyDescent="0.4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 t="str">
        <f t="shared" si="3"/>
        <v>缺必填</v>
      </c>
    </row>
    <row r="81" spans="1:30" ht="16.05" customHeight="1" x14ac:dyDescent="0.4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 t="str">
        <f t="shared" si="3"/>
        <v>缺必填</v>
      </c>
    </row>
    <row r="82" spans="1:30" ht="16.05" customHeight="1" x14ac:dyDescent="0.4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 t="str">
        <f t="shared" si="3"/>
        <v>缺必填</v>
      </c>
    </row>
    <row r="83" spans="1:30" ht="16.05" customHeight="1" x14ac:dyDescent="0.4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 t="str">
        <f t="shared" si="3"/>
        <v>缺必填</v>
      </c>
    </row>
    <row r="84" spans="1:30" ht="16.05" customHeight="1" x14ac:dyDescent="0.4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 t="str">
        <f t="shared" si="3"/>
        <v>缺必填</v>
      </c>
    </row>
    <row r="85" spans="1:30" ht="16.05" customHeight="1" x14ac:dyDescent="0.4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 t="str">
        <f t="shared" si="3"/>
        <v>缺必填</v>
      </c>
    </row>
    <row r="86" spans="1:30" ht="16.05" customHeight="1" x14ac:dyDescent="0.4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 t="str">
        <f t="shared" si="3"/>
        <v>缺必填</v>
      </c>
    </row>
    <row r="87" spans="1:30" ht="16.05" customHeight="1" x14ac:dyDescent="0.4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 t="str">
        <f t="shared" si="3"/>
        <v>缺必填</v>
      </c>
    </row>
    <row r="88" spans="1:30" ht="16.05" customHeight="1" x14ac:dyDescent="0.4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 t="str">
        <f t="shared" si="3"/>
        <v>缺必填</v>
      </c>
    </row>
    <row r="89" spans="1:30" ht="16.05" customHeight="1" x14ac:dyDescent="0.4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 t="str">
        <f t="shared" si="3"/>
        <v>缺必填</v>
      </c>
    </row>
    <row r="90" spans="1:30" ht="16.05" customHeight="1" x14ac:dyDescent="0.4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 t="str">
        <f t="shared" si="3"/>
        <v>缺必填</v>
      </c>
    </row>
    <row r="91" spans="1:30" ht="16.05" customHeight="1" x14ac:dyDescent="0.4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 t="str">
        <f t="shared" si="3"/>
        <v>缺必填</v>
      </c>
    </row>
    <row r="92" spans="1:30" ht="16.05" customHeight="1" x14ac:dyDescent="0.4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 t="str">
        <f t="shared" si="3"/>
        <v>缺必填</v>
      </c>
    </row>
    <row r="93" spans="1:30" ht="16.05" customHeight="1" x14ac:dyDescent="0.4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 t="str">
        <f t="shared" si="3"/>
        <v>缺必填</v>
      </c>
    </row>
    <row r="94" spans="1:30" ht="16.05" customHeight="1" x14ac:dyDescent="0.4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 t="str">
        <f t="shared" si="3"/>
        <v>缺必填</v>
      </c>
    </row>
    <row r="95" spans="1:30" ht="16.05" customHeight="1" x14ac:dyDescent="0.4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 t="str">
        <f t="shared" si="3"/>
        <v>缺必填</v>
      </c>
    </row>
    <row r="96" spans="1:30" ht="16.05" customHeight="1" x14ac:dyDescent="0.4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 t="str">
        <f t="shared" si="3"/>
        <v>缺必填</v>
      </c>
    </row>
    <row r="97" spans="1:30" ht="16.05" customHeight="1" x14ac:dyDescent="0.4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 t="str">
        <f t="shared" si="3"/>
        <v>缺必填</v>
      </c>
    </row>
    <row r="98" spans="1:30" ht="16.05" customHeight="1" x14ac:dyDescent="0.4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 t="str">
        <f t="shared" si="3"/>
        <v>缺必填</v>
      </c>
    </row>
    <row r="99" spans="1:30" ht="16.05" customHeight="1" x14ac:dyDescent="0.4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 t="str">
        <f t="shared" si="3"/>
        <v>缺必填</v>
      </c>
    </row>
    <row r="100" spans="1:30" ht="16.05" customHeight="1" x14ac:dyDescent="0.4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 t="str">
        <f t="shared" si="3"/>
        <v>缺必填</v>
      </c>
    </row>
    <row r="101" spans="1:30" ht="16.05" customHeight="1" x14ac:dyDescent="0.4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 t="str">
        <f t="shared" si="3"/>
        <v>缺必填</v>
      </c>
    </row>
    <row r="102" spans="1:30" ht="16.05" customHeight="1" x14ac:dyDescent="0.4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 t="str">
        <f t="shared" ref="AD102:AD133" si="4">IF((--(A102&lt;&gt;"")+--(C102&lt;&gt;"")+--(D102&lt;&gt;"")+--(F102&lt;&gt;"")+--(G102&lt;&gt;"")+--(O102&lt;&gt;"")+--(P102&lt;&gt;"")+--(U102&lt;&gt;"")+--(Z102&lt;&gt;"")+--(AA102&lt;&gt;""))=10,"OK","缺必填")</f>
        <v>缺必填</v>
      </c>
    </row>
    <row r="103" spans="1:30" ht="16.05" customHeight="1" x14ac:dyDescent="0.4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 t="str">
        <f t="shared" si="4"/>
        <v>缺必填</v>
      </c>
    </row>
    <row r="104" spans="1:30" ht="16.05" customHeight="1" x14ac:dyDescent="0.4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 t="str">
        <f t="shared" si="4"/>
        <v>缺必填</v>
      </c>
    </row>
    <row r="105" spans="1:30" ht="16.05" customHeight="1" x14ac:dyDescent="0.4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 t="str">
        <f t="shared" si="4"/>
        <v>缺必填</v>
      </c>
    </row>
    <row r="106" spans="1:30" ht="16.05" customHeight="1" x14ac:dyDescent="0.4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 t="str">
        <f t="shared" si="4"/>
        <v>缺必填</v>
      </c>
    </row>
    <row r="107" spans="1:30" ht="16.05" customHeight="1" x14ac:dyDescent="0.4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 t="str">
        <f t="shared" si="4"/>
        <v>缺必填</v>
      </c>
    </row>
    <row r="108" spans="1:30" ht="16.05" customHeight="1" x14ac:dyDescent="0.4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 t="str">
        <f t="shared" si="4"/>
        <v>缺必填</v>
      </c>
    </row>
    <row r="109" spans="1:30" ht="16.05" customHeight="1" x14ac:dyDescent="0.4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 t="str">
        <f t="shared" si="4"/>
        <v>缺必填</v>
      </c>
    </row>
    <row r="110" spans="1:30" ht="16.05" customHeight="1" x14ac:dyDescent="0.4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 t="str">
        <f t="shared" si="4"/>
        <v>缺必填</v>
      </c>
    </row>
    <row r="111" spans="1:30" ht="16.05" customHeight="1" x14ac:dyDescent="0.4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 t="str">
        <f t="shared" si="4"/>
        <v>缺必填</v>
      </c>
    </row>
    <row r="112" spans="1:30" ht="16.05" customHeight="1" x14ac:dyDescent="0.4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 t="str">
        <f t="shared" si="4"/>
        <v>缺必填</v>
      </c>
    </row>
    <row r="113" spans="1:30" ht="16.05" customHeight="1" x14ac:dyDescent="0.4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 t="str">
        <f t="shared" si="4"/>
        <v>缺必填</v>
      </c>
    </row>
    <row r="114" spans="1:30" ht="16.05" customHeight="1" x14ac:dyDescent="0.4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 t="str">
        <f t="shared" si="4"/>
        <v>缺必填</v>
      </c>
    </row>
    <row r="115" spans="1:30" ht="16.05" customHeight="1" x14ac:dyDescent="0.4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 t="str">
        <f t="shared" si="4"/>
        <v>缺必填</v>
      </c>
    </row>
    <row r="116" spans="1:30" ht="16.05" customHeight="1" x14ac:dyDescent="0.4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 t="str">
        <f t="shared" si="4"/>
        <v>缺必填</v>
      </c>
    </row>
    <row r="117" spans="1:30" ht="16.05" customHeight="1" x14ac:dyDescent="0.4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 t="str">
        <f t="shared" si="4"/>
        <v>缺必填</v>
      </c>
    </row>
    <row r="118" spans="1:30" ht="16.05" customHeight="1" x14ac:dyDescent="0.4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 t="str">
        <f t="shared" si="4"/>
        <v>缺必填</v>
      </c>
    </row>
    <row r="119" spans="1:30" ht="16.05" customHeight="1" x14ac:dyDescent="0.4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 t="str">
        <f t="shared" si="4"/>
        <v>缺必填</v>
      </c>
    </row>
    <row r="120" spans="1:30" ht="16.05" customHeight="1" x14ac:dyDescent="0.4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 t="str">
        <f t="shared" si="4"/>
        <v>缺必填</v>
      </c>
    </row>
    <row r="121" spans="1:30" ht="16.05" customHeight="1" x14ac:dyDescent="0.4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 t="str">
        <f t="shared" si="4"/>
        <v>缺必填</v>
      </c>
    </row>
    <row r="122" spans="1:30" ht="16.05" customHeight="1" x14ac:dyDescent="0.4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 t="str">
        <f t="shared" si="4"/>
        <v>缺必填</v>
      </c>
    </row>
    <row r="123" spans="1:30" ht="16.05" customHeight="1" x14ac:dyDescent="0.4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 t="str">
        <f t="shared" si="4"/>
        <v>缺必填</v>
      </c>
    </row>
    <row r="124" spans="1:30" ht="16.05" customHeight="1" x14ac:dyDescent="0.4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 t="str">
        <f t="shared" si="4"/>
        <v>缺必填</v>
      </c>
    </row>
    <row r="125" spans="1:30" ht="16.05" customHeight="1" x14ac:dyDescent="0.4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 t="str">
        <f t="shared" si="4"/>
        <v>缺必填</v>
      </c>
    </row>
    <row r="126" spans="1:30" ht="16.05" customHeight="1" x14ac:dyDescent="0.4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 t="str">
        <f t="shared" si="4"/>
        <v>缺必填</v>
      </c>
    </row>
    <row r="127" spans="1:30" ht="16.05" customHeight="1" x14ac:dyDescent="0.4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 t="str">
        <f t="shared" si="4"/>
        <v>缺必填</v>
      </c>
    </row>
    <row r="128" spans="1:30" ht="16.05" customHeight="1" x14ac:dyDescent="0.4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 t="str">
        <f t="shared" si="4"/>
        <v>缺必填</v>
      </c>
    </row>
    <row r="129" spans="1:30" ht="16.05" customHeight="1" x14ac:dyDescent="0.4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 t="str">
        <f t="shared" si="4"/>
        <v>缺必填</v>
      </c>
    </row>
    <row r="130" spans="1:30" ht="16.05" customHeight="1" x14ac:dyDescent="0.4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 t="str">
        <f t="shared" si="4"/>
        <v>缺必填</v>
      </c>
    </row>
    <row r="131" spans="1:30" ht="16.05" customHeight="1" x14ac:dyDescent="0.4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 t="str">
        <f t="shared" si="4"/>
        <v>缺必填</v>
      </c>
    </row>
    <row r="132" spans="1:30" ht="16.05" customHeight="1" x14ac:dyDescent="0.4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 t="str">
        <f t="shared" si="4"/>
        <v>缺必填</v>
      </c>
    </row>
    <row r="133" spans="1:30" ht="16.05" customHeight="1" x14ac:dyDescent="0.4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 t="str">
        <f t="shared" si="4"/>
        <v>缺必填</v>
      </c>
    </row>
    <row r="134" spans="1:30" ht="16.05" customHeight="1" x14ac:dyDescent="0.4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 t="str">
        <f t="shared" ref="AD134:AD165" si="5">IF((--(A134&lt;&gt;"")+--(C134&lt;&gt;"")+--(D134&lt;&gt;"")+--(F134&lt;&gt;"")+--(G134&lt;&gt;"")+--(O134&lt;&gt;"")+--(P134&lt;&gt;"")+--(U134&lt;&gt;"")+--(Z134&lt;&gt;"")+--(AA134&lt;&gt;""))=10,"OK","缺必填")</f>
        <v>缺必填</v>
      </c>
    </row>
    <row r="135" spans="1:30" ht="16.05" customHeight="1" x14ac:dyDescent="0.4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 t="str">
        <f t="shared" si="5"/>
        <v>缺必填</v>
      </c>
    </row>
    <row r="136" spans="1:30" ht="16.05" customHeight="1" x14ac:dyDescent="0.4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 t="str">
        <f t="shared" si="5"/>
        <v>缺必填</v>
      </c>
    </row>
    <row r="137" spans="1:30" ht="16.05" customHeight="1" x14ac:dyDescent="0.4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 t="str">
        <f t="shared" si="5"/>
        <v>缺必填</v>
      </c>
    </row>
    <row r="138" spans="1:30" ht="16.05" customHeight="1" x14ac:dyDescent="0.4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 t="str">
        <f t="shared" si="5"/>
        <v>缺必填</v>
      </c>
    </row>
    <row r="139" spans="1:30" ht="16.05" customHeight="1" x14ac:dyDescent="0.4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 t="str">
        <f t="shared" si="5"/>
        <v>缺必填</v>
      </c>
    </row>
    <row r="140" spans="1:30" ht="16.05" customHeight="1" x14ac:dyDescent="0.4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 t="str">
        <f t="shared" si="5"/>
        <v>缺必填</v>
      </c>
    </row>
    <row r="141" spans="1:30" ht="16.05" customHeight="1" x14ac:dyDescent="0.4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 t="str">
        <f t="shared" si="5"/>
        <v>缺必填</v>
      </c>
    </row>
    <row r="142" spans="1:30" ht="16.05" customHeight="1" x14ac:dyDescent="0.4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 t="str">
        <f t="shared" si="5"/>
        <v>缺必填</v>
      </c>
    </row>
    <row r="143" spans="1:30" ht="16.05" customHeight="1" x14ac:dyDescent="0.4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 t="str">
        <f t="shared" si="5"/>
        <v>缺必填</v>
      </c>
    </row>
    <row r="144" spans="1:30" ht="16.05" customHeight="1" x14ac:dyDescent="0.4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 t="str">
        <f t="shared" si="5"/>
        <v>缺必填</v>
      </c>
    </row>
    <row r="145" spans="1:30" ht="16.05" customHeight="1" x14ac:dyDescent="0.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 t="str">
        <f t="shared" si="5"/>
        <v>缺必填</v>
      </c>
    </row>
    <row r="146" spans="1:30" ht="16.05" customHeight="1" x14ac:dyDescent="0.4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 t="str">
        <f t="shared" si="5"/>
        <v>缺必填</v>
      </c>
    </row>
    <row r="147" spans="1:30" ht="16.05" customHeight="1" x14ac:dyDescent="0.4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 t="str">
        <f t="shared" si="5"/>
        <v>缺必填</v>
      </c>
    </row>
    <row r="148" spans="1:30" ht="16.05" customHeight="1" x14ac:dyDescent="0.4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 t="str">
        <f t="shared" si="5"/>
        <v>缺必填</v>
      </c>
    </row>
    <row r="149" spans="1:30" ht="16.05" customHeight="1" x14ac:dyDescent="0.4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 t="str">
        <f t="shared" si="5"/>
        <v>缺必填</v>
      </c>
    </row>
    <row r="150" spans="1:30" ht="16.05" customHeight="1" x14ac:dyDescent="0.4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 t="str">
        <f t="shared" si="5"/>
        <v>缺必填</v>
      </c>
    </row>
    <row r="151" spans="1:30" ht="16.05" customHeight="1" x14ac:dyDescent="0.4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 t="str">
        <f t="shared" si="5"/>
        <v>缺必填</v>
      </c>
    </row>
    <row r="152" spans="1:30" ht="16.05" customHeight="1" x14ac:dyDescent="0.4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 t="str">
        <f t="shared" si="5"/>
        <v>缺必填</v>
      </c>
    </row>
    <row r="153" spans="1:30" ht="16.05" customHeight="1" x14ac:dyDescent="0.4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 t="str">
        <f t="shared" si="5"/>
        <v>缺必填</v>
      </c>
    </row>
    <row r="154" spans="1:30" ht="16.05" customHeight="1" x14ac:dyDescent="0.4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 t="str">
        <f t="shared" si="5"/>
        <v>缺必填</v>
      </c>
    </row>
    <row r="155" spans="1:30" ht="16.05" customHeight="1" x14ac:dyDescent="0.4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 t="str">
        <f t="shared" si="5"/>
        <v>缺必填</v>
      </c>
    </row>
    <row r="156" spans="1:30" ht="16.05" customHeight="1" x14ac:dyDescent="0.4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 t="str">
        <f t="shared" si="5"/>
        <v>缺必填</v>
      </c>
    </row>
    <row r="157" spans="1:30" ht="16.05" customHeight="1" x14ac:dyDescent="0.4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 t="str">
        <f t="shared" si="5"/>
        <v>缺必填</v>
      </c>
    </row>
    <row r="158" spans="1:30" ht="16.05" customHeight="1" x14ac:dyDescent="0.4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 t="str">
        <f t="shared" si="5"/>
        <v>缺必填</v>
      </c>
    </row>
    <row r="159" spans="1:30" ht="16.05" customHeight="1" x14ac:dyDescent="0.4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 t="str">
        <f t="shared" si="5"/>
        <v>缺必填</v>
      </c>
    </row>
    <row r="160" spans="1:30" ht="16.05" customHeight="1" x14ac:dyDescent="0.4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 t="str">
        <f t="shared" si="5"/>
        <v>缺必填</v>
      </c>
    </row>
    <row r="161" spans="1:30" ht="16.05" customHeight="1" x14ac:dyDescent="0.4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 t="str">
        <f t="shared" si="5"/>
        <v>缺必填</v>
      </c>
    </row>
    <row r="162" spans="1:30" ht="16.05" customHeight="1" x14ac:dyDescent="0.4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 t="str">
        <f t="shared" si="5"/>
        <v>缺必填</v>
      </c>
    </row>
    <row r="163" spans="1:30" ht="16.05" customHeight="1" x14ac:dyDescent="0.4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 t="str">
        <f t="shared" si="5"/>
        <v>缺必填</v>
      </c>
    </row>
    <row r="164" spans="1:30" ht="16.05" customHeight="1" x14ac:dyDescent="0.4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 t="str">
        <f t="shared" si="5"/>
        <v>缺必填</v>
      </c>
    </row>
    <row r="165" spans="1:30" ht="16.05" customHeight="1" x14ac:dyDescent="0.4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 t="str">
        <f t="shared" si="5"/>
        <v>缺必填</v>
      </c>
    </row>
    <row r="166" spans="1:30" ht="16.05" customHeight="1" x14ac:dyDescent="0.4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 t="str">
        <f t="shared" ref="AD166:AD197" si="6">IF((--(A166&lt;&gt;"")+--(C166&lt;&gt;"")+--(D166&lt;&gt;"")+--(F166&lt;&gt;"")+--(G166&lt;&gt;"")+--(O166&lt;&gt;"")+--(P166&lt;&gt;"")+--(U166&lt;&gt;"")+--(Z166&lt;&gt;"")+--(AA166&lt;&gt;""))=10,"OK","缺必填")</f>
        <v>缺必填</v>
      </c>
    </row>
    <row r="167" spans="1:30" ht="16.05" customHeight="1" x14ac:dyDescent="0.4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 t="str">
        <f t="shared" si="6"/>
        <v>缺必填</v>
      </c>
    </row>
    <row r="168" spans="1:30" ht="16.05" customHeight="1" x14ac:dyDescent="0.4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 t="str">
        <f t="shared" si="6"/>
        <v>缺必填</v>
      </c>
    </row>
    <row r="169" spans="1:30" ht="16.05" customHeight="1" x14ac:dyDescent="0.4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 t="str">
        <f t="shared" si="6"/>
        <v>缺必填</v>
      </c>
    </row>
    <row r="170" spans="1:30" ht="16.05" customHeight="1" x14ac:dyDescent="0.4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 t="str">
        <f t="shared" si="6"/>
        <v>缺必填</v>
      </c>
    </row>
    <row r="171" spans="1:30" ht="16.05" customHeight="1" x14ac:dyDescent="0.4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 t="str">
        <f t="shared" si="6"/>
        <v>缺必填</v>
      </c>
    </row>
    <row r="172" spans="1:30" ht="16.05" customHeight="1" x14ac:dyDescent="0.4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 t="str">
        <f t="shared" si="6"/>
        <v>缺必填</v>
      </c>
    </row>
    <row r="173" spans="1:30" ht="16.05" customHeight="1" x14ac:dyDescent="0.4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 t="str">
        <f t="shared" si="6"/>
        <v>缺必填</v>
      </c>
    </row>
    <row r="174" spans="1:30" ht="16.05" customHeight="1" x14ac:dyDescent="0.4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 t="str">
        <f t="shared" si="6"/>
        <v>缺必填</v>
      </c>
    </row>
    <row r="175" spans="1:30" ht="16.05" customHeight="1" x14ac:dyDescent="0.4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 t="str">
        <f t="shared" si="6"/>
        <v>缺必填</v>
      </c>
    </row>
    <row r="176" spans="1:30" ht="16.05" customHeight="1" x14ac:dyDescent="0.4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 t="str">
        <f t="shared" si="6"/>
        <v>缺必填</v>
      </c>
    </row>
    <row r="177" spans="1:30" ht="16.05" customHeight="1" x14ac:dyDescent="0.4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 t="str">
        <f t="shared" si="6"/>
        <v>缺必填</v>
      </c>
    </row>
    <row r="178" spans="1:30" ht="16.05" customHeight="1" x14ac:dyDescent="0.4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 t="str">
        <f t="shared" si="6"/>
        <v>缺必填</v>
      </c>
    </row>
    <row r="179" spans="1:30" ht="16.05" customHeight="1" x14ac:dyDescent="0.4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 t="str">
        <f t="shared" si="6"/>
        <v>缺必填</v>
      </c>
    </row>
    <row r="180" spans="1:30" ht="16.05" customHeight="1" x14ac:dyDescent="0.4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 t="str">
        <f t="shared" si="6"/>
        <v>缺必填</v>
      </c>
    </row>
    <row r="181" spans="1:30" ht="16.05" customHeight="1" x14ac:dyDescent="0.4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 t="str">
        <f t="shared" si="6"/>
        <v>缺必填</v>
      </c>
    </row>
    <row r="182" spans="1:30" ht="16.05" customHeight="1" x14ac:dyDescent="0.4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 t="str">
        <f t="shared" si="6"/>
        <v>缺必填</v>
      </c>
    </row>
    <row r="183" spans="1:30" ht="16.05" customHeight="1" x14ac:dyDescent="0.4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 t="str">
        <f t="shared" si="6"/>
        <v>缺必填</v>
      </c>
    </row>
    <row r="184" spans="1:30" ht="16.05" customHeight="1" x14ac:dyDescent="0.4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 t="str">
        <f t="shared" si="6"/>
        <v>缺必填</v>
      </c>
    </row>
    <row r="185" spans="1:30" ht="16.05" customHeight="1" x14ac:dyDescent="0.4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 t="str">
        <f t="shared" si="6"/>
        <v>缺必填</v>
      </c>
    </row>
    <row r="186" spans="1:30" ht="16.05" customHeight="1" x14ac:dyDescent="0.4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 t="str">
        <f t="shared" si="6"/>
        <v>缺必填</v>
      </c>
    </row>
    <row r="187" spans="1:30" ht="16.05" customHeight="1" x14ac:dyDescent="0.4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 t="str">
        <f t="shared" si="6"/>
        <v>缺必填</v>
      </c>
    </row>
    <row r="188" spans="1:30" ht="16.05" customHeight="1" x14ac:dyDescent="0.4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 t="str">
        <f t="shared" si="6"/>
        <v>缺必填</v>
      </c>
    </row>
    <row r="189" spans="1:30" ht="16.05" customHeight="1" x14ac:dyDescent="0.4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 t="str">
        <f t="shared" si="6"/>
        <v>缺必填</v>
      </c>
    </row>
    <row r="190" spans="1:30" ht="16.05" customHeight="1" x14ac:dyDescent="0.4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 t="str">
        <f t="shared" si="6"/>
        <v>缺必填</v>
      </c>
    </row>
    <row r="191" spans="1:30" ht="16.05" customHeight="1" x14ac:dyDescent="0.4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 t="str">
        <f t="shared" si="6"/>
        <v>缺必填</v>
      </c>
    </row>
    <row r="192" spans="1:30" ht="16.05" customHeight="1" x14ac:dyDescent="0.4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 t="str">
        <f t="shared" si="6"/>
        <v>缺必填</v>
      </c>
    </row>
    <row r="193" spans="1:30" ht="16.05" customHeight="1" x14ac:dyDescent="0.4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 t="str">
        <f t="shared" si="6"/>
        <v>缺必填</v>
      </c>
    </row>
    <row r="194" spans="1:30" ht="16.05" customHeight="1" x14ac:dyDescent="0.4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 t="str">
        <f t="shared" si="6"/>
        <v>缺必填</v>
      </c>
    </row>
    <row r="195" spans="1:30" ht="16.05" customHeight="1" x14ac:dyDescent="0.4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 t="str">
        <f t="shared" si="6"/>
        <v>缺必填</v>
      </c>
    </row>
    <row r="196" spans="1:30" ht="16.05" customHeight="1" x14ac:dyDescent="0.4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 t="str">
        <f t="shared" si="6"/>
        <v>缺必填</v>
      </c>
    </row>
    <row r="197" spans="1:30" ht="16.05" customHeight="1" x14ac:dyDescent="0.4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 t="str">
        <f t="shared" si="6"/>
        <v>缺必填</v>
      </c>
    </row>
    <row r="198" spans="1:30" ht="16.05" customHeight="1" x14ac:dyDescent="0.4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 t="str">
        <f t="shared" ref="AD198:AD205" si="7">IF((--(A198&lt;&gt;"")+--(C198&lt;&gt;"")+--(D198&lt;&gt;"")+--(F198&lt;&gt;"")+--(G198&lt;&gt;"")+--(O198&lt;&gt;"")+--(P198&lt;&gt;"")+--(U198&lt;&gt;"")+--(Z198&lt;&gt;"")+--(AA198&lt;&gt;""))=10,"OK","缺必填")</f>
        <v>缺必填</v>
      </c>
    </row>
    <row r="199" spans="1:30" ht="16.05" customHeight="1" x14ac:dyDescent="0.4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 t="str">
        <f t="shared" si="7"/>
        <v>缺必填</v>
      </c>
    </row>
    <row r="200" spans="1:30" ht="16.05" customHeight="1" x14ac:dyDescent="0.4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 t="str">
        <f t="shared" si="7"/>
        <v>缺必填</v>
      </c>
    </row>
    <row r="201" spans="1:30" ht="16.05" customHeight="1" x14ac:dyDescent="0.4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 t="str">
        <f t="shared" si="7"/>
        <v>缺必填</v>
      </c>
    </row>
    <row r="202" spans="1:30" ht="16.05" customHeight="1" x14ac:dyDescent="0.4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 t="str">
        <f t="shared" si="7"/>
        <v>缺必填</v>
      </c>
    </row>
    <row r="203" spans="1:30" ht="16.05" customHeight="1" x14ac:dyDescent="0.4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 t="str">
        <f t="shared" si="7"/>
        <v>缺必填</v>
      </c>
    </row>
    <row r="204" spans="1:30" ht="16.05" customHeight="1" x14ac:dyDescent="0.4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 t="str">
        <f t="shared" si="7"/>
        <v>缺必填</v>
      </c>
    </row>
    <row r="205" spans="1:30" ht="16.05" customHeight="1" x14ac:dyDescent="0.4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 t="str">
        <f t="shared" si="7"/>
        <v>缺必填</v>
      </c>
    </row>
  </sheetData>
  <mergeCells count="2">
    <mergeCell ref="A1:AD1"/>
    <mergeCell ref="A2:AD2"/>
  </mergeCells>
  <phoneticPr fontId="10" type="noConversion"/>
  <conditionalFormatting sqref="AD6 AD8:AD205">
    <cfRule type="expression" dxfId="13" priority="3">
      <formula>$AD6="缺必填"</formula>
    </cfRule>
    <cfRule type="expression" dxfId="12" priority="4">
      <formula>$AD6="OK"</formula>
    </cfRule>
  </conditionalFormatting>
  <conditionalFormatting sqref="AD7">
    <cfRule type="expression" dxfId="1" priority="1">
      <formula>$AD7="缺必填"</formula>
    </cfRule>
    <cfRule type="expression" dxfId="0" priority="2">
      <formula>$AD7="OK"</formula>
    </cfRule>
  </conditionalFormatting>
  <dataValidations count="5">
    <dataValidation type="list" sqref="B6:B205">
      <formula1>"新增,更新"</formula1>
    </dataValidation>
    <dataValidation type="list" sqref="C6:C205">
      <formula1>"N,Y"</formula1>
    </dataValidation>
    <dataValidation type="list" sqref="G6:G205">
      <formula1>"GTIN,UPC,SKU,Model #,Serial #,Registered #,Alternate ID"</formula1>
    </dataValidation>
    <dataValidation type="list" sqref="O6:O205">
      <formula1>"GCC,CPC"</formula1>
    </dataValidation>
    <dataValidation type="list" sqref="Y6:Y205">
      <formula1>"Manufacturer,Seller"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5"/>
  <sheetViews>
    <sheetView workbookViewId="0">
      <selection sqref="A1:P1"/>
    </sheetView>
  </sheetViews>
  <sheetFormatPr defaultRowHeight="14.25" x14ac:dyDescent="0.45"/>
  <cols>
    <col min="1" max="2" width="18" customWidth="1"/>
    <col min="3" max="3" width="14" customWidth="1"/>
    <col min="4" max="5" width="18" customWidth="1"/>
    <col min="6" max="7" width="28" customWidth="1"/>
    <col min="8" max="8" width="18" customWidth="1"/>
    <col min="9" max="14" width="14" customWidth="1"/>
    <col min="15" max="15" width="28" customWidth="1"/>
    <col min="16" max="16" width="16" customWidth="1"/>
  </cols>
  <sheetData>
    <row r="1" spans="1:16" ht="14" customHeight="1" x14ac:dyDescent="0.45">
      <c r="A1" s="8" t="s">
        <v>157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16" ht="16.05" customHeight="1" x14ac:dyDescent="0.45">
      <c r="A2" s="10" t="s">
        <v>158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16" ht="14" customHeight="1" x14ac:dyDescent="0.45">
      <c r="A3" s="4" t="s">
        <v>58</v>
      </c>
      <c r="B3" s="4" t="s">
        <v>159</v>
      </c>
      <c r="C3" s="4" t="s">
        <v>160</v>
      </c>
      <c r="D3" s="4" t="s">
        <v>65</v>
      </c>
      <c r="E3" s="4" t="s">
        <v>161</v>
      </c>
      <c r="F3" s="4" t="s">
        <v>161</v>
      </c>
      <c r="G3" s="4" t="s">
        <v>162</v>
      </c>
      <c r="H3" s="4" t="s">
        <v>163</v>
      </c>
      <c r="I3" s="4" t="s">
        <v>164</v>
      </c>
      <c r="J3" s="4" t="s">
        <v>161</v>
      </c>
      <c r="K3" s="4" t="s">
        <v>165</v>
      </c>
      <c r="L3" s="4" t="s">
        <v>166</v>
      </c>
      <c r="M3" s="4" t="s">
        <v>167</v>
      </c>
      <c r="N3" s="4" t="s">
        <v>164</v>
      </c>
      <c r="O3" s="4" t="s">
        <v>76</v>
      </c>
      <c r="P3" s="4" t="s">
        <v>77</v>
      </c>
    </row>
    <row r="4" spans="1:16" ht="14" customHeight="1" x14ac:dyDescent="0.45">
      <c r="A4" s="4" t="s">
        <v>168</v>
      </c>
      <c r="B4" s="4" t="s">
        <v>169</v>
      </c>
      <c r="C4" s="4" t="s">
        <v>170</v>
      </c>
      <c r="D4" s="4" t="s">
        <v>171</v>
      </c>
      <c r="E4" s="4" t="s">
        <v>172</v>
      </c>
      <c r="F4" s="4" t="s">
        <v>173</v>
      </c>
      <c r="G4" s="4" t="s">
        <v>174</v>
      </c>
      <c r="H4" s="4" t="s">
        <v>175</v>
      </c>
      <c r="I4" s="4" t="s">
        <v>176</v>
      </c>
      <c r="J4" s="4" t="s">
        <v>177</v>
      </c>
      <c r="K4" s="4" t="s">
        <v>178</v>
      </c>
      <c r="L4" s="4" t="s">
        <v>179</v>
      </c>
      <c r="M4" s="4" t="s">
        <v>180</v>
      </c>
      <c r="N4" s="4" t="s">
        <v>181</v>
      </c>
      <c r="O4" s="4" t="s">
        <v>105</v>
      </c>
      <c r="P4" s="4" t="s">
        <v>106</v>
      </c>
    </row>
    <row r="5" spans="1:16" ht="18" customHeight="1" x14ac:dyDescent="0.45">
      <c r="A5" s="5" t="s">
        <v>133</v>
      </c>
      <c r="B5" s="5" t="s">
        <v>182</v>
      </c>
      <c r="C5" s="5" t="s">
        <v>183</v>
      </c>
      <c r="D5" s="5" t="s">
        <v>184</v>
      </c>
      <c r="E5" s="5" t="s">
        <v>185</v>
      </c>
      <c r="F5" s="5" t="s">
        <v>186</v>
      </c>
      <c r="G5" s="5" t="s">
        <v>187</v>
      </c>
      <c r="H5" s="5" t="s">
        <v>188</v>
      </c>
      <c r="I5" s="5" t="s">
        <v>189</v>
      </c>
      <c r="J5" s="5" t="s">
        <v>190</v>
      </c>
      <c r="K5" s="5" t="s">
        <v>191</v>
      </c>
      <c r="L5" s="5" t="s">
        <v>192</v>
      </c>
      <c r="M5" s="5" t="s">
        <v>193</v>
      </c>
      <c r="N5" s="5" t="s">
        <v>194</v>
      </c>
      <c r="O5" s="5" t="s">
        <v>135</v>
      </c>
      <c r="P5" s="5" t="s">
        <v>136</v>
      </c>
    </row>
    <row r="6" spans="1:16" ht="16.05" customHeight="1" x14ac:dyDescent="0.45">
      <c r="A6" s="6" t="s">
        <v>154</v>
      </c>
      <c r="B6" s="6" t="s">
        <v>195</v>
      </c>
      <c r="C6" s="6"/>
      <c r="D6" s="6"/>
      <c r="E6" s="6" t="s">
        <v>196</v>
      </c>
      <c r="F6" s="6" t="s">
        <v>197</v>
      </c>
      <c r="G6" s="6"/>
      <c r="H6" s="6"/>
      <c r="I6" s="6" t="s">
        <v>198</v>
      </c>
      <c r="J6" s="6" t="s">
        <v>198</v>
      </c>
      <c r="K6" s="6" t="s">
        <v>199</v>
      </c>
      <c r="L6" s="6" t="s">
        <v>200</v>
      </c>
      <c r="M6" s="6" t="s">
        <v>201</v>
      </c>
      <c r="N6" s="6" t="s">
        <v>202</v>
      </c>
      <c r="O6" s="6" t="s">
        <v>203</v>
      </c>
      <c r="P6" s="6" t="str">
        <f t="shared" ref="P6:P37" si="0">IF((--(A6&lt;&gt;"")+--(B6&lt;&gt;"")+--(E6&lt;&gt;"")+--(F6&lt;&gt;"")+--(I6&lt;&gt;"")+--(K6&lt;&gt;"")+--(L6&lt;&gt;"")+--(M6&lt;&gt;"")+--(N6&lt;&gt;""))=9,"OK","缺必填")</f>
        <v>OK</v>
      </c>
    </row>
    <row r="7" spans="1:16" ht="16.05" customHeight="1" x14ac:dyDescent="0.4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 t="str">
        <f t="shared" si="0"/>
        <v>缺必填</v>
      </c>
    </row>
    <row r="8" spans="1:16" ht="16.05" customHeight="1" x14ac:dyDescent="0.4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 t="str">
        <f t="shared" si="0"/>
        <v>缺必填</v>
      </c>
    </row>
    <row r="9" spans="1:16" ht="16.05" customHeight="1" x14ac:dyDescent="0.4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 t="str">
        <f t="shared" si="0"/>
        <v>缺必填</v>
      </c>
    </row>
    <row r="10" spans="1:16" ht="16.05" customHeight="1" x14ac:dyDescent="0.4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 t="str">
        <f t="shared" si="0"/>
        <v>缺必填</v>
      </c>
    </row>
    <row r="11" spans="1:16" ht="16.05" customHeight="1" x14ac:dyDescent="0.4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 t="str">
        <f t="shared" si="0"/>
        <v>缺必填</v>
      </c>
    </row>
    <row r="12" spans="1:16" ht="16.05" customHeight="1" x14ac:dyDescent="0.4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 t="str">
        <f t="shared" si="0"/>
        <v>缺必填</v>
      </c>
    </row>
    <row r="13" spans="1:16" ht="16.05" customHeight="1" x14ac:dyDescent="0.4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 t="str">
        <f t="shared" si="0"/>
        <v>缺必填</v>
      </c>
    </row>
    <row r="14" spans="1:16" ht="16.05" customHeight="1" x14ac:dyDescent="0.4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 t="str">
        <f t="shared" si="0"/>
        <v>缺必填</v>
      </c>
    </row>
    <row r="15" spans="1:16" ht="16.05" customHeight="1" x14ac:dyDescent="0.4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 t="str">
        <f t="shared" si="0"/>
        <v>缺必填</v>
      </c>
    </row>
    <row r="16" spans="1:16" ht="16.05" customHeight="1" x14ac:dyDescent="0.4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 t="str">
        <f t="shared" si="0"/>
        <v>缺必填</v>
      </c>
    </row>
    <row r="17" spans="1:16" ht="16.05" customHeight="1" x14ac:dyDescent="0.4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 t="str">
        <f t="shared" si="0"/>
        <v>缺必填</v>
      </c>
    </row>
    <row r="18" spans="1:16" ht="16.05" customHeight="1" x14ac:dyDescent="0.4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 t="str">
        <f t="shared" si="0"/>
        <v>缺必填</v>
      </c>
    </row>
    <row r="19" spans="1:16" ht="16.05" customHeight="1" x14ac:dyDescent="0.4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 t="str">
        <f t="shared" si="0"/>
        <v>缺必填</v>
      </c>
    </row>
    <row r="20" spans="1:16" ht="16.05" customHeight="1" x14ac:dyDescent="0.4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 t="str">
        <f t="shared" si="0"/>
        <v>缺必填</v>
      </c>
    </row>
    <row r="21" spans="1:16" ht="16.05" customHeight="1" x14ac:dyDescent="0.4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 t="str">
        <f t="shared" si="0"/>
        <v>缺必填</v>
      </c>
    </row>
    <row r="22" spans="1:16" ht="16.05" customHeight="1" x14ac:dyDescent="0.4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 t="str">
        <f t="shared" si="0"/>
        <v>缺必填</v>
      </c>
    </row>
    <row r="23" spans="1:16" ht="16.05" customHeight="1" x14ac:dyDescent="0.4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 t="str">
        <f t="shared" si="0"/>
        <v>缺必填</v>
      </c>
    </row>
    <row r="24" spans="1:16" ht="16.05" customHeight="1" x14ac:dyDescent="0.4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 t="str">
        <f t="shared" si="0"/>
        <v>缺必填</v>
      </c>
    </row>
    <row r="25" spans="1:16" ht="16.05" customHeight="1" x14ac:dyDescent="0.4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 t="str">
        <f t="shared" si="0"/>
        <v>缺必填</v>
      </c>
    </row>
    <row r="26" spans="1:16" ht="16.05" customHeight="1" x14ac:dyDescent="0.4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 t="str">
        <f t="shared" si="0"/>
        <v>缺必填</v>
      </c>
    </row>
    <row r="27" spans="1:16" ht="16.05" customHeight="1" x14ac:dyDescent="0.4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 t="str">
        <f t="shared" si="0"/>
        <v>缺必填</v>
      </c>
    </row>
    <row r="28" spans="1:16" ht="16.05" customHeight="1" x14ac:dyDescent="0.4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 t="str">
        <f t="shared" si="0"/>
        <v>缺必填</v>
      </c>
    </row>
    <row r="29" spans="1:16" ht="16.05" customHeight="1" x14ac:dyDescent="0.4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 t="str">
        <f t="shared" si="0"/>
        <v>缺必填</v>
      </c>
    </row>
    <row r="30" spans="1:16" ht="16.05" customHeight="1" x14ac:dyDescent="0.4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 t="str">
        <f t="shared" si="0"/>
        <v>缺必填</v>
      </c>
    </row>
    <row r="31" spans="1:16" ht="16.05" customHeight="1" x14ac:dyDescent="0.4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 t="str">
        <f t="shared" si="0"/>
        <v>缺必填</v>
      </c>
    </row>
    <row r="32" spans="1:16" ht="16.05" customHeight="1" x14ac:dyDescent="0.4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 t="str">
        <f t="shared" si="0"/>
        <v>缺必填</v>
      </c>
    </row>
    <row r="33" spans="1:16" ht="16.05" customHeight="1" x14ac:dyDescent="0.4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 t="str">
        <f t="shared" si="0"/>
        <v>缺必填</v>
      </c>
    </row>
    <row r="34" spans="1:16" ht="16.05" customHeight="1" x14ac:dyDescent="0.4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 t="str">
        <f t="shared" si="0"/>
        <v>缺必填</v>
      </c>
    </row>
    <row r="35" spans="1:16" ht="16.05" customHeight="1" x14ac:dyDescent="0.4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 t="str">
        <f t="shared" si="0"/>
        <v>缺必填</v>
      </c>
    </row>
    <row r="36" spans="1:16" ht="16.05" customHeight="1" x14ac:dyDescent="0.4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 t="str">
        <f t="shared" si="0"/>
        <v>缺必填</v>
      </c>
    </row>
    <row r="37" spans="1:16" ht="16.05" customHeight="1" x14ac:dyDescent="0.4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 t="str">
        <f t="shared" si="0"/>
        <v>缺必填</v>
      </c>
    </row>
    <row r="38" spans="1:16" ht="16.05" customHeight="1" x14ac:dyDescent="0.4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 t="str">
        <f t="shared" ref="P38:P69" si="1">IF((--(A38&lt;&gt;"")+--(B38&lt;&gt;"")+--(E38&lt;&gt;"")+--(F38&lt;&gt;"")+--(I38&lt;&gt;"")+--(K38&lt;&gt;"")+--(L38&lt;&gt;"")+--(M38&lt;&gt;"")+--(N38&lt;&gt;""))=9,"OK","缺必填")</f>
        <v>缺必填</v>
      </c>
    </row>
    <row r="39" spans="1:16" ht="16.05" customHeight="1" x14ac:dyDescent="0.4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 t="str">
        <f t="shared" si="1"/>
        <v>缺必填</v>
      </c>
    </row>
    <row r="40" spans="1:16" ht="16.05" customHeight="1" x14ac:dyDescent="0.4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 t="str">
        <f t="shared" si="1"/>
        <v>缺必填</v>
      </c>
    </row>
    <row r="41" spans="1:16" ht="16.05" customHeight="1" x14ac:dyDescent="0.4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 t="str">
        <f t="shared" si="1"/>
        <v>缺必填</v>
      </c>
    </row>
    <row r="42" spans="1:16" ht="16.05" customHeight="1" x14ac:dyDescent="0.4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 t="str">
        <f t="shared" si="1"/>
        <v>缺必填</v>
      </c>
    </row>
    <row r="43" spans="1:16" ht="16.05" customHeight="1" x14ac:dyDescent="0.4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 t="str">
        <f t="shared" si="1"/>
        <v>缺必填</v>
      </c>
    </row>
    <row r="44" spans="1:16" ht="16.05" customHeight="1" x14ac:dyDescent="0.4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 t="str">
        <f t="shared" si="1"/>
        <v>缺必填</v>
      </c>
    </row>
    <row r="45" spans="1:16" ht="16.05" customHeight="1" x14ac:dyDescent="0.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 t="str">
        <f t="shared" si="1"/>
        <v>缺必填</v>
      </c>
    </row>
    <row r="46" spans="1:16" ht="16.05" customHeight="1" x14ac:dyDescent="0.4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 t="str">
        <f t="shared" si="1"/>
        <v>缺必填</v>
      </c>
    </row>
    <row r="47" spans="1:16" ht="16.05" customHeight="1" x14ac:dyDescent="0.4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 t="str">
        <f t="shared" si="1"/>
        <v>缺必填</v>
      </c>
    </row>
    <row r="48" spans="1:16" ht="16.05" customHeight="1" x14ac:dyDescent="0.4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 t="str">
        <f t="shared" si="1"/>
        <v>缺必填</v>
      </c>
    </row>
    <row r="49" spans="1:16" ht="16.05" customHeight="1" x14ac:dyDescent="0.4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 t="str">
        <f t="shared" si="1"/>
        <v>缺必填</v>
      </c>
    </row>
    <row r="50" spans="1:16" ht="16.05" customHeight="1" x14ac:dyDescent="0.4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 t="str">
        <f t="shared" si="1"/>
        <v>缺必填</v>
      </c>
    </row>
    <row r="51" spans="1:16" ht="16.05" customHeight="1" x14ac:dyDescent="0.4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 t="str">
        <f t="shared" si="1"/>
        <v>缺必填</v>
      </c>
    </row>
    <row r="52" spans="1:16" ht="16.05" customHeight="1" x14ac:dyDescent="0.4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 t="str">
        <f t="shared" si="1"/>
        <v>缺必填</v>
      </c>
    </row>
    <row r="53" spans="1:16" ht="16.05" customHeight="1" x14ac:dyDescent="0.4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 t="str">
        <f t="shared" si="1"/>
        <v>缺必填</v>
      </c>
    </row>
    <row r="54" spans="1:16" ht="16.05" customHeight="1" x14ac:dyDescent="0.4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 t="str">
        <f t="shared" si="1"/>
        <v>缺必填</v>
      </c>
    </row>
    <row r="55" spans="1:16" ht="16.05" customHeight="1" x14ac:dyDescent="0.4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 t="str">
        <f t="shared" si="1"/>
        <v>缺必填</v>
      </c>
    </row>
    <row r="56" spans="1:16" ht="16.05" customHeight="1" x14ac:dyDescent="0.4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 t="str">
        <f t="shared" si="1"/>
        <v>缺必填</v>
      </c>
    </row>
    <row r="57" spans="1:16" ht="16.05" customHeight="1" x14ac:dyDescent="0.4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 t="str">
        <f t="shared" si="1"/>
        <v>缺必填</v>
      </c>
    </row>
    <row r="58" spans="1:16" ht="16.05" customHeight="1" x14ac:dyDescent="0.4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 t="str">
        <f t="shared" si="1"/>
        <v>缺必填</v>
      </c>
    </row>
    <row r="59" spans="1:16" ht="16.05" customHeight="1" x14ac:dyDescent="0.4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 t="str">
        <f t="shared" si="1"/>
        <v>缺必填</v>
      </c>
    </row>
    <row r="60" spans="1:16" ht="16.05" customHeight="1" x14ac:dyDescent="0.4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 t="str">
        <f t="shared" si="1"/>
        <v>缺必填</v>
      </c>
    </row>
    <row r="61" spans="1:16" ht="16.05" customHeight="1" x14ac:dyDescent="0.4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 t="str">
        <f t="shared" si="1"/>
        <v>缺必填</v>
      </c>
    </row>
    <row r="62" spans="1:16" ht="16.05" customHeight="1" x14ac:dyDescent="0.4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 t="str">
        <f t="shared" si="1"/>
        <v>缺必填</v>
      </c>
    </row>
    <row r="63" spans="1:16" ht="16.05" customHeight="1" x14ac:dyDescent="0.4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 t="str">
        <f t="shared" si="1"/>
        <v>缺必填</v>
      </c>
    </row>
    <row r="64" spans="1:16" ht="16.05" customHeight="1" x14ac:dyDescent="0.4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 t="str">
        <f t="shared" si="1"/>
        <v>缺必填</v>
      </c>
    </row>
    <row r="65" spans="1:16" ht="16.05" customHeight="1" x14ac:dyDescent="0.4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 t="str">
        <f t="shared" si="1"/>
        <v>缺必填</v>
      </c>
    </row>
    <row r="66" spans="1:16" ht="16.05" customHeight="1" x14ac:dyDescent="0.4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 t="str">
        <f t="shared" si="1"/>
        <v>缺必填</v>
      </c>
    </row>
    <row r="67" spans="1:16" ht="16.05" customHeight="1" x14ac:dyDescent="0.4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 t="str">
        <f t="shared" si="1"/>
        <v>缺必填</v>
      </c>
    </row>
    <row r="68" spans="1:16" ht="16.05" customHeight="1" x14ac:dyDescent="0.4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 t="str">
        <f t="shared" si="1"/>
        <v>缺必填</v>
      </c>
    </row>
    <row r="69" spans="1:16" ht="16.05" customHeight="1" x14ac:dyDescent="0.4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 t="str">
        <f t="shared" si="1"/>
        <v>缺必填</v>
      </c>
    </row>
    <row r="70" spans="1:16" ht="16.05" customHeight="1" x14ac:dyDescent="0.4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 t="str">
        <f t="shared" ref="P70:P101" si="2">IF((--(A70&lt;&gt;"")+--(B70&lt;&gt;"")+--(E70&lt;&gt;"")+--(F70&lt;&gt;"")+--(I70&lt;&gt;"")+--(K70&lt;&gt;"")+--(L70&lt;&gt;"")+--(M70&lt;&gt;"")+--(N70&lt;&gt;""))=9,"OK","缺必填")</f>
        <v>缺必填</v>
      </c>
    </row>
    <row r="71" spans="1:16" ht="16.05" customHeight="1" x14ac:dyDescent="0.4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 t="str">
        <f t="shared" si="2"/>
        <v>缺必填</v>
      </c>
    </row>
    <row r="72" spans="1:16" ht="16.05" customHeight="1" x14ac:dyDescent="0.4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 t="str">
        <f t="shared" si="2"/>
        <v>缺必填</v>
      </c>
    </row>
    <row r="73" spans="1:16" ht="16.05" customHeight="1" x14ac:dyDescent="0.4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 t="str">
        <f t="shared" si="2"/>
        <v>缺必填</v>
      </c>
    </row>
    <row r="74" spans="1:16" ht="16.05" customHeight="1" x14ac:dyDescent="0.4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 t="str">
        <f t="shared" si="2"/>
        <v>缺必填</v>
      </c>
    </row>
    <row r="75" spans="1:16" ht="16.05" customHeight="1" x14ac:dyDescent="0.4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 t="str">
        <f t="shared" si="2"/>
        <v>缺必填</v>
      </c>
    </row>
    <row r="76" spans="1:16" ht="16.05" customHeight="1" x14ac:dyDescent="0.4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 t="str">
        <f t="shared" si="2"/>
        <v>缺必填</v>
      </c>
    </row>
    <row r="77" spans="1:16" ht="16.05" customHeight="1" x14ac:dyDescent="0.4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 t="str">
        <f t="shared" si="2"/>
        <v>缺必填</v>
      </c>
    </row>
    <row r="78" spans="1:16" ht="16.05" customHeight="1" x14ac:dyDescent="0.4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 t="str">
        <f t="shared" si="2"/>
        <v>缺必填</v>
      </c>
    </row>
    <row r="79" spans="1:16" ht="16.05" customHeight="1" x14ac:dyDescent="0.4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 t="str">
        <f t="shared" si="2"/>
        <v>缺必填</v>
      </c>
    </row>
    <row r="80" spans="1:16" ht="16.05" customHeight="1" x14ac:dyDescent="0.4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 t="str">
        <f t="shared" si="2"/>
        <v>缺必填</v>
      </c>
    </row>
    <row r="81" spans="1:16" ht="16.05" customHeight="1" x14ac:dyDescent="0.4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 t="str">
        <f t="shared" si="2"/>
        <v>缺必填</v>
      </c>
    </row>
    <row r="82" spans="1:16" ht="16.05" customHeight="1" x14ac:dyDescent="0.4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 t="str">
        <f t="shared" si="2"/>
        <v>缺必填</v>
      </c>
    </row>
    <row r="83" spans="1:16" ht="16.05" customHeight="1" x14ac:dyDescent="0.4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 t="str">
        <f t="shared" si="2"/>
        <v>缺必填</v>
      </c>
    </row>
    <row r="84" spans="1:16" ht="16.05" customHeight="1" x14ac:dyDescent="0.4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 t="str">
        <f t="shared" si="2"/>
        <v>缺必填</v>
      </c>
    </row>
    <row r="85" spans="1:16" ht="16.05" customHeight="1" x14ac:dyDescent="0.4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 t="str">
        <f t="shared" si="2"/>
        <v>缺必填</v>
      </c>
    </row>
    <row r="86" spans="1:16" ht="16.05" customHeight="1" x14ac:dyDescent="0.4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 t="str">
        <f t="shared" si="2"/>
        <v>缺必填</v>
      </c>
    </row>
    <row r="87" spans="1:16" ht="16.05" customHeight="1" x14ac:dyDescent="0.4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 t="str">
        <f t="shared" si="2"/>
        <v>缺必填</v>
      </c>
    </row>
    <row r="88" spans="1:16" ht="16.05" customHeight="1" x14ac:dyDescent="0.4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 t="str">
        <f t="shared" si="2"/>
        <v>缺必填</v>
      </c>
    </row>
    <row r="89" spans="1:16" ht="16.05" customHeight="1" x14ac:dyDescent="0.4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 t="str">
        <f t="shared" si="2"/>
        <v>缺必填</v>
      </c>
    </row>
    <row r="90" spans="1:16" ht="16.05" customHeight="1" x14ac:dyDescent="0.4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 t="str">
        <f t="shared" si="2"/>
        <v>缺必填</v>
      </c>
    </row>
    <row r="91" spans="1:16" ht="16.05" customHeight="1" x14ac:dyDescent="0.4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 t="str">
        <f t="shared" si="2"/>
        <v>缺必填</v>
      </c>
    </row>
    <row r="92" spans="1:16" ht="16.05" customHeight="1" x14ac:dyDescent="0.4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 t="str">
        <f t="shared" si="2"/>
        <v>缺必填</v>
      </c>
    </row>
    <row r="93" spans="1:16" ht="16.05" customHeight="1" x14ac:dyDescent="0.4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 t="str">
        <f t="shared" si="2"/>
        <v>缺必填</v>
      </c>
    </row>
    <row r="94" spans="1:16" ht="16.05" customHeight="1" x14ac:dyDescent="0.4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 t="str">
        <f t="shared" si="2"/>
        <v>缺必填</v>
      </c>
    </row>
    <row r="95" spans="1:16" ht="16.05" customHeight="1" x14ac:dyDescent="0.4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 t="str">
        <f t="shared" si="2"/>
        <v>缺必填</v>
      </c>
    </row>
    <row r="96" spans="1:16" ht="16.05" customHeight="1" x14ac:dyDescent="0.4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 t="str">
        <f t="shared" si="2"/>
        <v>缺必填</v>
      </c>
    </row>
    <row r="97" spans="1:16" ht="16.05" customHeight="1" x14ac:dyDescent="0.4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 t="str">
        <f t="shared" si="2"/>
        <v>缺必填</v>
      </c>
    </row>
    <row r="98" spans="1:16" ht="16.05" customHeight="1" x14ac:dyDescent="0.4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 t="str">
        <f t="shared" si="2"/>
        <v>缺必填</v>
      </c>
    </row>
    <row r="99" spans="1:16" ht="16.05" customHeight="1" x14ac:dyDescent="0.4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 t="str">
        <f t="shared" si="2"/>
        <v>缺必填</v>
      </c>
    </row>
    <row r="100" spans="1:16" ht="16.05" customHeight="1" x14ac:dyDescent="0.4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 t="str">
        <f t="shared" si="2"/>
        <v>缺必填</v>
      </c>
    </row>
    <row r="101" spans="1:16" ht="16.05" customHeight="1" x14ac:dyDescent="0.4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 t="str">
        <f t="shared" si="2"/>
        <v>缺必填</v>
      </c>
    </row>
    <row r="102" spans="1:16" ht="16.05" customHeight="1" x14ac:dyDescent="0.4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 t="str">
        <f t="shared" ref="P102:P133" si="3">IF((--(A102&lt;&gt;"")+--(B102&lt;&gt;"")+--(E102&lt;&gt;"")+--(F102&lt;&gt;"")+--(I102&lt;&gt;"")+--(K102&lt;&gt;"")+--(L102&lt;&gt;"")+--(M102&lt;&gt;"")+--(N102&lt;&gt;""))=9,"OK","缺必填")</f>
        <v>缺必填</v>
      </c>
    </row>
    <row r="103" spans="1:16" ht="16.05" customHeight="1" x14ac:dyDescent="0.4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 t="str">
        <f t="shared" si="3"/>
        <v>缺必填</v>
      </c>
    </row>
    <row r="104" spans="1:16" ht="16.05" customHeight="1" x14ac:dyDescent="0.4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 t="str">
        <f t="shared" si="3"/>
        <v>缺必填</v>
      </c>
    </row>
    <row r="105" spans="1:16" ht="16.05" customHeight="1" x14ac:dyDescent="0.4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 t="str">
        <f t="shared" si="3"/>
        <v>缺必填</v>
      </c>
    </row>
    <row r="106" spans="1:16" ht="16.05" customHeight="1" x14ac:dyDescent="0.4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 t="str">
        <f t="shared" si="3"/>
        <v>缺必填</v>
      </c>
    </row>
    <row r="107" spans="1:16" ht="16.05" customHeight="1" x14ac:dyDescent="0.4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 t="str">
        <f t="shared" si="3"/>
        <v>缺必填</v>
      </c>
    </row>
    <row r="108" spans="1:16" ht="16.05" customHeight="1" x14ac:dyDescent="0.4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 t="str">
        <f t="shared" si="3"/>
        <v>缺必填</v>
      </c>
    </row>
    <row r="109" spans="1:16" ht="16.05" customHeight="1" x14ac:dyDescent="0.4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 t="str">
        <f t="shared" si="3"/>
        <v>缺必填</v>
      </c>
    </row>
    <row r="110" spans="1:16" ht="16.05" customHeight="1" x14ac:dyDescent="0.4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 t="str">
        <f t="shared" si="3"/>
        <v>缺必填</v>
      </c>
    </row>
    <row r="111" spans="1:16" ht="16.05" customHeight="1" x14ac:dyDescent="0.4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 t="str">
        <f t="shared" si="3"/>
        <v>缺必填</v>
      </c>
    </row>
    <row r="112" spans="1:16" ht="16.05" customHeight="1" x14ac:dyDescent="0.4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 t="str">
        <f t="shared" si="3"/>
        <v>缺必填</v>
      </c>
    </row>
    <row r="113" spans="1:16" ht="16.05" customHeight="1" x14ac:dyDescent="0.4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 t="str">
        <f t="shared" si="3"/>
        <v>缺必填</v>
      </c>
    </row>
    <row r="114" spans="1:16" ht="16.05" customHeight="1" x14ac:dyDescent="0.4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 t="str">
        <f t="shared" si="3"/>
        <v>缺必填</v>
      </c>
    </row>
    <row r="115" spans="1:16" ht="16.05" customHeight="1" x14ac:dyDescent="0.4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 t="str">
        <f t="shared" si="3"/>
        <v>缺必填</v>
      </c>
    </row>
    <row r="116" spans="1:16" ht="16.05" customHeight="1" x14ac:dyDescent="0.4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 t="str">
        <f t="shared" si="3"/>
        <v>缺必填</v>
      </c>
    </row>
    <row r="117" spans="1:16" ht="16.05" customHeight="1" x14ac:dyDescent="0.4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 t="str">
        <f t="shared" si="3"/>
        <v>缺必填</v>
      </c>
    </row>
    <row r="118" spans="1:16" ht="16.05" customHeight="1" x14ac:dyDescent="0.4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 t="str">
        <f t="shared" si="3"/>
        <v>缺必填</v>
      </c>
    </row>
    <row r="119" spans="1:16" ht="16.05" customHeight="1" x14ac:dyDescent="0.4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 t="str">
        <f t="shared" si="3"/>
        <v>缺必填</v>
      </c>
    </row>
    <row r="120" spans="1:16" ht="16.05" customHeight="1" x14ac:dyDescent="0.4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 t="str">
        <f t="shared" si="3"/>
        <v>缺必填</v>
      </c>
    </row>
    <row r="121" spans="1:16" ht="16.05" customHeight="1" x14ac:dyDescent="0.4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 t="str">
        <f t="shared" si="3"/>
        <v>缺必填</v>
      </c>
    </row>
    <row r="122" spans="1:16" ht="16.05" customHeight="1" x14ac:dyDescent="0.4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 t="str">
        <f t="shared" si="3"/>
        <v>缺必填</v>
      </c>
    </row>
    <row r="123" spans="1:16" ht="16.05" customHeight="1" x14ac:dyDescent="0.4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 t="str">
        <f t="shared" si="3"/>
        <v>缺必填</v>
      </c>
    </row>
    <row r="124" spans="1:16" ht="16.05" customHeight="1" x14ac:dyDescent="0.4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 t="str">
        <f t="shared" si="3"/>
        <v>缺必填</v>
      </c>
    </row>
    <row r="125" spans="1:16" ht="16.05" customHeight="1" x14ac:dyDescent="0.4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 t="str">
        <f t="shared" si="3"/>
        <v>缺必填</v>
      </c>
    </row>
    <row r="126" spans="1:16" ht="16.05" customHeight="1" x14ac:dyDescent="0.4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 t="str">
        <f t="shared" si="3"/>
        <v>缺必填</v>
      </c>
    </row>
    <row r="127" spans="1:16" ht="16.05" customHeight="1" x14ac:dyDescent="0.4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 t="str">
        <f t="shared" si="3"/>
        <v>缺必填</v>
      </c>
    </row>
    <row r="128" spans="1:16" ht="16.05" customHeight="1" x14ac:dyDescent="0.4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 t="str">
        <f t="shared" si="3"/>
        <v>缺必填</v>
      </c>
    </row>
    <row r="129" spans="1:16" ht="16.05" customHeight="1" x14ac:dyDescent="0.4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 t="str">
        <f t="shared" si="3"/>
        <v>缺必填</v>
      </c>
    </row>
    <row r="130" spans="1:16" ht="16.05" customHeight="1" x14ac:dyDescent="0.4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 t="str">
        <f t="shared" si="3"/>
        <v>缺必填</v>
      </c>
    </row>
    <row r="131" spans="1:16" ht="16.05" customHeight="1" x14ac:dyDescent="0.4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 t="str">
        <f t="shared" si="3"/>
        <v>缺必填</v>
      </c>
    </row>
    <row r="132" spans="1:16" ht="16.05" customHeight="1" x14ac:dyDescent="0.4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 t="str">
        <f t="shared" si="3"/>
        <v>缺必填</v>
      </c>
    </row>
    <row r="133" spans="1:16" ht="16.05" customHeight="1" x14ac:dyDescent="0.4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 t="str">
        <f t="shared" si="3"/>
        <v>缺必填</v>
      </c>
    </row>
    <row r="134" spans="1:16" ht="16.05" customHeight="1" x14ac:dyDescent="0.4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 t="str">
        <f t="shared" ref="P134:P165" si="4">IF((--(A134&lt;&gt;"")+--(B134&lt;&gt;"")+--(E134&lt;&gt;"")+--(F134&lt;&gt;"")+--(I134&lt;&gt;"")+--(K134&lt;&gt;"")+--(L134&lt;&gt;"")+--(M134&lt;&gt;"")+--(N134&lt;&gt;""))=9,"OK","缺必填")</f>
        <v>缺必填</v>
      </c>
    </row>
    <row r="135" spans="1:16" ht="16.05" customHeight="1" x14ac:dyDescent="0.4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 t="str">
        <f t="shared" si="4"/>
        <v>缺必填</v>
      </c>
    </row>
    <row r="136" spans="1:16" ht="16.05" customHeight="1" x14ac:dyDescent="0.4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 t="str">
        <f t="shared" si="4"/>
        <v>缺必填</v>
      </c>
    </row>
    <row r="137" spans="1:16" ht="16.05" customHeight="1" x14ac:dyDescent="0.4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 t="str">
        <f t="shared" si="4"/>
        <v>缺必填</v>
      </c>
    </row>
    <row r="138" spans="1:16" ht="16.05" customHeight="1" x14ac:dyDescent="0.4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 t="str">
        <f t="shared" si="4"/>
        <v>缺必填</v>
      </c>
    </row>
    <row r="139" spans="1:16" ht="16.05" customHeight="1" x14ac:dyDescent="0.4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 t="str">
        <f t="shared" si="4"/>
        <v>缺必填</v>
      </c>
    </row>
    <row r="140" spans="1:16" ht="16.05" customHeight="1" x14ac:dyDescent="0.4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 t="str">
        <f t="shared" si="4"/>
        <v>缺必填</v>
      </c>
    </row>
    <row r="141" spans="1:16" ht="16.05" customHeight="1" x14ac:dyDescent="0.4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 t="str">
        <f t="shared" si="4"/>
        <v>缺必填</v>
      </c>
    </row>
    <row r="142" spans="1:16" ht="16.05" customHeight="1" x14ac:dyDescent="0.4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 t="str">
        <f t="shared" si="4"/>
        <v>缺必填</v>
      </c>
    </row>
    <row r="143" spans="1:16" ht="16.05" customHeight="1" x14ac:dyDescent="0.4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 t="str">
        <f t="shared" si="4"/>
        <v>缺必填</v>
      </c>
    </row>
    <row r="144" spans="1:16" ht="16.05" customHeight="1" x14ac:dyDescent="0.4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 t="str">
        <f t="shared" si="4"/>
        <v>缺必填</v>
      </c>
    </row>
    <row r="145" spans="1:16" ht="16.05" customHeight="1" x14ac:dyDescent="0.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 t="str">
        <f t="shared" si="4"/>
        <v>缺必填</v>
      </c>
    </row>
    <row r="146" spans="1:16" ht="16.05" customHeight="1" x14ac:dyDescent="0.4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 t="str">
        <f t="shared" si="4"/>
        <v>缺必填</v>
      </c>
    </row>
    <row r="147" spans="1:16" ht="16.05" customHeight="1" x14ac:dyDescent="0.4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 t="str">
        <f t="shared" si="4"/>
        <v>缺必填</v>
      </c>
    </row>
    <row r="148" spans="1:16" ht="16.05" customHeight="1" x14ac:dyDescent="0.4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 t="str">
        <f t="shared" si="4"/>
        <v>缺必填</v>
      </c>
    </row>
    <row r="149" spans="1:16" ht="16.05" customHeight="1" x14ac:dyDescent="0.4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 t="str">
        <f t="shared" si="4"/>
        <v>缺必填</v>
      </c>
    </row>
    <row r="150" spans="1:16" ht="16.05" customHeight="1" x14ac:dyDescent="0.4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 t="str">
        <f t="shared" si="4"/>
        <v>缺必填</v>
      </c>
    </row>
    <row r="151" spans="1:16" ht="16.05" customHeight="1" x14ac:dyDescent="0.4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 t="str">
        <f t="shared" si="4"/>
        <v>缺必填</v>
      </c>
    </row>
    <row r="152" spans="1:16" ht="16.05" customHeight="1" x14ac:dyDescent="0.4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 t="str">
        <f t="shared" si="4"/>
        <v>缺必填</v>
      </c>
    </row>
    <row r="153" spans="1:16" ht="16.05" customHeight="1" x14ac:dyDescent="0.4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 t="str">
        <f t="shared" si="4"/>
        <v>缺必填</v>
      </c>
    </row>
    <row r="154" spans="1:16" ht="16.05" customHeight="1" x14ac:dyDescent="0.4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 t="str">
        <f t="shared" si="4"/>
        <v>缺必填</v>
      </c>
    </row>
    <row r="155" spans="1:16" ht="16.05" customHeight="1" x14ac:dyDescent="0.4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 t="str">
        <f t="shared" si="4"/>
        <v>缺必填</v>
      </c>
    </row>
    <row r="156" spans="1:16" ht="16.05" customHeight="1" x14ac:dyDescent="0.4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 t="str">
        <f t="shared" si="4"/>
        <v>缺必填</v>
      </c>
    </row>
    <row r="157" spans="1:16" ht="16.05" customHeight="1" x14ac:dyDescent="0.4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 t="str">
        <f t="shared" si="4"/>
        <v>缺必填</v>
      </c>
    </row>
    <row r="158" spans="1:16" ht="16.05" customHeight="1" x14ac:dyDescent="0.4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 t="str">
        <f t="shared" si="4"/>
        <v>缺必填</v>
      </c>
    </row>
    <row r="159" spans="1:16" ht="16.05" customHeight="1" x14ac:dyDescent="0.4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 t="str">
        <f t="shared" si="4"/>
        <v>缺必填</v>
      </c>
    </row>
    <row r="160" spans="1:16" ht="16.05" customHeight="1" x14ac:dyDescent="0.4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 t="str">
        <f t="shared" si="4"/>
        <v>缺必填</v>
      </c>
    </row>
    <row r="161" spans="1:16" ht="16.05" customHeight="1" x14ac:dyDescent="0.4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 t="str">
        <f t="shared" si="4"/>
        <v>缺必填</v>
      </c>
    </row>
    <row r="162" spans="1:16" ht="16.05" customHeight="1" x14ac:dyDescent="0.4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 t="str">
        <f t="shared" si="4"/>
        <v>缺必填</v>
      </c>
    </row>
    <row r="163" spans="1:16" ht="16.05" customHeight="1" x14ac:dyDescent="0.4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 t="str">
        <f t="shared" si="4"/>
        <v>缺必填</v>
      </c>
    </row>
    <row r="164" spans="1:16" ht="16.05" customHeight="1" x14ac:dyDescent="0.4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 t="str">
        <f t="shared" si="4"/>
        <v>缺必填</v>
      </c>
    </row>
    <row r="165" spans="1:16" ht="16.05" customHeight="1" x14ac:dyDescent="0.4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 t="str">
        <f t="shared" si="4"/>
        <v>缺必填</v>
      </c>
    </row>
    <row r="166" spans="1:16" ht="16.05" customHeight="1" x14ac:dyDescent="0.4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 t="str">
        <f t="shared" ref="P166:P197" si="5">IF((--(A166&lt;&gt;"")+--(B166&lt;&gt;"")+--(E166&lt;&gt;"")+--(F166&lt;&gt;"")+--(I166&lt;&gt;"")+--(K166&lt;&gt;"")+--(L166&lt;&gt;"")+--(M166&lt;&gt;"")+--(N166&lt;&gt;""))=9,"OK","缺必填")</f>
        <v>缺必填</v>
      </c>
    </row>
    <row r="167" spans="1:16" ht="16.05" customHeight="1" x14ac:dyDescent="0.4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 t="str">
        <f t="shared" si="5"/>
        <v>缺必填</v>
      </c>
    </row>
    <row r="168" spans="1:16" ht="16.05" customHeight="1" x14ac:dyDescent="0.4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 t="str">
        <f t="shared" si="5"/>
        <v>缺必填</v>
      </c>
    </row>
    <row r="169" spans="1:16" ht="16.05" customHeight="1" x14ac:dyDescent="0.4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 t="str">
        <f t="shared" si="5"/>
        <v>缺必填</v>
      </c>
    </row>
    <row r="170" spans="1:16" ht="16.05" customHeight="1" x14ac:dyDescent="0.4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 t="str">
        <f t="shared" si="5"/>
        <v>缺必填</v>
      </c>
    </row>
    <row r="171" spans="1:16" ht="16.05" customHeight="1" x14ac:dyDescent="0.4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 t="str">
        <f t="shared" si="5"/>
        <v>缺必填</v>
      </c>
    </row>
    <row r="172" spans="1:16" ht="16.05" customHeight="1" x14ac:dyDescent="0.4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 t="str">
        <f t="shared" si="5"/>
        <v>缺必填</v>
      </c>
    </row>
    <row r="173" spans="1:16" ht="16.05" customHeight="1" x14ac:dyDescent="0.4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 t="str">
        <f t="shared" si="5"/>
        <v>缺必填</v>
      </c>
    </row>
    <row r="174" spans="1:16" ht="16.05" customHeight="1" x14ac:dyDescent="0.4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 t="str">
        <f t="shared" si="5"/>
        <v>缺必填</v>
      </c>
    </row>
    <row r="175" spans="1:16" ht="16.05" customHeight="1" x14ac:dyDescent="0.4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 t="str">
        <f t="shared" si="5"/>
        <v>缺必填</v>
      </c>
    </row>
    <row r="176" spans="1:16" ht="16.05" customHeight="1" x14ac:dyDescent="0.4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 t="str">
        <f t="shared" si="5"/>
        <v>缺必填</v>
      </c>
    </row>
    <row r="177" spans="1:16" ht="16.05" customHeight="1" x14ac:dyDescent="0.4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 t="str">
        <f t="shared" si="5"/>
        <v>缺必填</v>
      </c>
    </row>
    <row r="178" spans="1:16" ht="16.05" customHeight="1" x14ac:dyDescent="0.4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 t="str">
        <f t="shared" si="5"/>
        <v>缺必填</v>
      </c>
    </row>
    <row r="179" spans="1:16" ht="16.05" customHeight="1" x14ac:dyDescent="0.4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 t="str">
        <f t="shared" si="5"/>
        <v>缺必填</v>
      </c>
    </row>
    <row r="180" spans="1:16" ht="16.05" customHeight="1" x14ac:dyDescent="0.4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 t="str">
        <f t="shared" si="5"/>
        <v>缺必填</v>
      </c>
    </row>
    <row r="181" spans="1:16" ht="16.05" customHeight="1" x14ac:dyDescent="0.4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 t="str">
        <f t="shared" si="5"/>
        <v>缺必填</v>
      </c>
    </row>
    <row r="182" spans="1:16" ht="16.05" customHeight="1" x14ac:dyDescent="0.4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 t="str">
        <f t="shared" si="5"/>
        <v>缺必填</v>
      </c>
    </row>
    <row r="183" spans="1:16" ht="16.05" customHeight="1" x14ac:dyDescent="0.4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 t="str">
        <f t="shared" si="5"/>
        <v>缺必填</v>
      </c>
    </row>
    <row r="184" spans="1:16" ht="16.05" customHeight="1" x14ac:dyDescent="0.4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 t="str">
        <f t="shared" si="5"/>
        <v>缺必填</v>
      </c>
    </row>
    <row r="185" spans="1:16" ht="16.05" customHeight="1" x14ac:dyDescent="0.4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 t="str">
        <f t="shared" si="5"/>
        <v>缺必填</v>
      </c>
    </row>
    <row r="186" spans="1:16" ht="16.05" customHeight="1" x14ac:dyDescent="0.4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 t="str">
        <f t="shared" si="5"/>
        <v>缺必填</v>
      </c>
    </row>
    <row r="187" spans="1:16" ht="16.05" customHeight="1" x14ac:dyDescent="0.4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 t="str">
        <f t="shared" si="5"/>
        <v>缺必填</v>
      </c>
    </row>
    <row r="188" spans="1:16" ht="16.05" customHeight="1" x14ac:dyDescent="0.4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 t="str">
        <f t="shared" si="5"/>
        <v>缺必填</v>
      </c>
    </row>
    <row r="189" spans="1:16" ht="16.05" customHeight="1" x14ac:dyDescent="0.4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 t="str">
        <f t="shared" si="5"/>
        <v>缺必填</v>
      </c>
    </row>
    <row r="190" spans="1:16" ht="16.05" customHeight="1" x14ac:dyDescent="0.4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 t="str">
        <f t="shared" si="5"/>
        <v>缺必填</v>
      </c>
    </row>
    <row r="191" spans="1:16" ht="16.05" customHeight="1" x14ac:dyDescent="0.4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 t="str">
        <f t="shared" si="5"/>
        <v>缺必填</v>
      </c>
    </row>
    <row r="192" spans="1:16" ht="16.05" customHeight="1" x14ac:dyDescent="0.4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 t="str">
        <f t="shared" si="5"/>
        <v>缺必填</v>
      </c>
    </row>
    <row r="193" spans="1:16" ht="16.05" customHeight="1" x14ac:dyDescent="0.4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 t="str">
        <f t="shared" si="5"/>
        <v>缺必填</v>
      </c>
    </row>
    <row r="194" spans="1:16" ht="16.05" customHeight="1" x14ac:dyDescent="0.4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 t="str">
        <f t="shared" si="5"/>
        <v>缺必填</v>
      </c>
    </row>
    <row r="195" spans="1:16" ht="16.05" customHeight="1" x14ac:dyDescent="0.4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 t="str">
        <f t="shared" si="5"/>
        <v>缺必填</v>
      </c>
    </row>
    <row r="196" spans="1:16" ht="16.05" customHeight="1" x14ac:dyDescent="0.4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 t="str">
        <f t="shared" si="5"/>
        <v>缺必填</v>
      </c>
    </row>
    <row r="197" spans="1:16" ht="16.05" customHeight="1" x14ac:dyDescent="0.4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 t="str">
        <f t="shared" si="5"/>
        <v>缺必填</v>
      </c>
    </row>
    <row r="198" spans="1:16" ht="16.05" customHeight="1" x14ac:dyDescent="0.4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 t="str">
        <f t="shared" ref="P198:P205" si="6">IF((--(A198&lt;&gt;"")+--(B198&lt;&gt;"")+--(E198&lt;&gt;"")+--(F198&lt;&gt;"")+--(I198&lt;&gt;"")+--(K198&lt;&gt;"")+--(L198&lt;&gt;"")+--(M198&lt;&gt;"")+--(N198&lt;&gt;""))=9,"OK","缺必填")</f>
        <v>缺必填</v>
      </c>
    </row>
    <row r="199" spans="1:16" ht="16.05" customHeight="1" x14ac:dyDescent="0.4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 t="str">
        <f t="shared" si="6"/>
        <v>缺必填</v>
      </c>
    </row>
    <row r="200" spans="1:16" ht="16.05" customHeight="1" x14ac:dyDescent="0.4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 t="str">
        <f t="shared" si="6"/>
        <v>缺必填</v>
      </c>
    </row>
    <row r="201" spans="1:16" ht="16.05" customHeight="1" x14ac:dyDescent="0.4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 t="str">
        <f t="shared" si="6"/>
        <v>缺必填</v>
      </c>
    </row>
    <row r="202" spans="1:16" ht="16.05" customHeight="1" x14ac:dyDescent="0.4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 t="str">
        <f t="shared" si="6"/>
        <v>缺必填</v>
      </c>
    </row>
    <row r="203" spans="1:16" ht="16.05" customHeight="1" x14ac:dyDescent="0.4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 t="str">
        <f t="shared" si="6"/>
        <v>缺必填</v>
      </c>
    </row>
    <row r="204" spans="1:16" ht="16.05" customHeight="1" x14ac:dyDescent="0.4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 t="str">
        <f t="shared" si="6"/>
        <v>缺必填</v>
      </c>
    </row>
    <row r="205" spans="1:16" ht="16.05" customHeight="1" x14ac:dyDescent="0.4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 t="str">
        <f t="shared" si="6"/>
        <v>缺必填</v>
      </c>
    </row>
  </sheetData>
  <mergeCells count="2">
    <mergeCell ref="A1:P1"/>
    <mergeCell ref="A2:P2"/>
  </mergeCells>
  <phoneticPr fontId="10" type="noConversion"/>
  <conditionalFormatting sqref="P6:P205">
    <cfRule type="expression" dxfId="11" priority="1">
      <formula>$P6="缺必填"</formula>
    </cfRule>
    <cfRule type="expression" dxfId="10" priority="2">
      <formula>$P6="OK"</formula>
    </cfRule>
  </conditionalFormatting>
  <dataValidations count="2">
    <dataValidation type="list" sqref="B6:B205">
      <formula1>"Y,N"</formula1>
    </dataValidation>
    <dataValidation type="list" sqref="K6:K205">
      <formula1>"USA,China,Japan,Taiwan,Vietnam,Thailand,Malaysia,Indonesia,Philippines,Korea,India,Mexico,Canada"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05"/>
  <sheetViews>
    <sheetView workbookViewId="0">
      <selection activeCell="C19" sqref="A11:C19"/>
    </sheetView>
  </sheetViews>
  <sheetFormatPr defaultRowHeight="14.25" x14ac:dyDescent="0.45"/>
  <cols>
    <col min="1" max="5" width="18" customWidth="1"/>
    <col min="6" max="6" width="14" customWidth="1"/>
    <col min="7" max="7" width="18" customWidth="1"/>
    <col min="8" max="9" width="28" customWidth="1"/>
    <col min="10" max="10" width="18" customWidth="1"/>
    <col min="11" max="16" width="14" customWidth="1"/>
    <col min="17" max="17" width="18" customWidth="1"/>
    <col min="18" max="19" width="28" customWidth="1"/>
    <col min="20" max="21" width="18" customWidth="1"/>
    <col min="22" max="23" width="28" customWidth="1"/>
    <col min="24" max="24" width="16" customWidth="1"/>
  </cols>
  <sheetData>
    <row r="1" spans="1:24" ht="14" customHeight="1" x14ac:dyDescent="0.45">
      <c r="A1" s="8" t="s">
        <v>204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ht="16.05" customHeight="1" x14ac:dyDescent="0.45">
      <c r="A2" s="10" t="s">
        <v>205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</row>
    <row r="3" spans="1:24" ht="14" customHeight="1" x14ac:dyDescent="0.45">
      <c r="A3" s="4" t="s">
        <v>58</v>
      </c>
      <c r="B3" s="4" t="s">
        <v>206</v>
      </c>
      <c r="C3" s="4" t="s">
        <v>159</v>
      </c>
      <c r="D3" s="4" t="s">
        <v>207</v>
      </c>
      <c r="E3" s="4" t="s">
        <v>208</v>
      </c>
      <c r="F3" s="4" t="s">
        <v>209</v>
      </c>
      <c r="G3" s="4" t="s">
        <v>210</v>
      </c>
      <c r="H3" s="4" t="s">
        <v>210</v>
      </c>
      <c r="I3" s="4" t="s">
        <v>162</v>
      </c>
      <c r="J3" s="4" t="s">
        <v>163</v>
      </c>
      <c r="K3" s="4" t="s">
        <v>211</v>
      </c>
      <c r="L3" s="4" t="s">
        <v>210</v>
      </c>
      <c r="M3" s="4" t="s">
        <v>212</v>
      </c>
      <c r="N3" s="4" t="s">
        <v>213</v>
      </c>
      <c r="O3" s="4" t="s">
        <v>214</v>
      </c>
      <c r="P3" s="4" t="s">
        <v>211</v>
      </c>
      <c r="Q3" s="4" t="s">
        <v>215</v>
      </c>
      <c r="R3" s="4" t="s">
        <v>216</v>
      </c>
      <c r="S3" s="4" t="s">
        <v>216</v>
      </c>
      <c r="T3" s="4" t="s">
        <v>216</v>
      </c>
      <c r="U3" s="4" t="s">
        <v>217</v>
      </c>
      <c r="V3" s="4" t="s">
        <v>218</v>
      </c>
      <c r="W3" s="4" t="s">
        <v>76</v>
      </c>
      <c r="X3" s="4" t="s">
        <v>77</v>
      </c>
    </row>
    <row r="4" spans="1:24" ht="14" customHeight="1" x14ac:dyDescent="0.45">
      <c r="A4" s="4" t="s">
        <v>82</v>
      </c>
      <c r="B4" s="4" t="s">
        <v>219</v>
      </c>
      <c r="C4" s="4" t="s">
        <v>220</v>
      </c>
      <c r="D4" s="4" t="s">
        <v>221</v>
      </c>
      <c r="E4" s="4" t="s">
        <v>222</v>
      </c>
      <c r="F4" s="4" t="s">
        <v>223</v>
      </c>
      <c r="G4" s="4" t="s">
        <v>224</v>
      </c>
      <c r="H4" s="4" t="s">
        <v>225</v>
      </c>
      <c r="I4" s="4" t="s">
        <v>226</v>
      </c>
      <c r="J4" s="4" t="s">
        <v>227</v>
      </c>
      <c r="K4" s="4" t="s">
        <v>228</v>
      </c>
      <c r="L4" s="4" t="s">
        <v>229</v>
      </c>
      <c r="M4" s="4" t="s">
        <v>230</v>
      </c>
      <c r="N4" s="4" t="s">
        <v>231</v>
      </c>
      <c r="O4" s="4" t="s">
        <v>232</v>
      </c>
      <c r="P4" s="4" t="s">
        <v>233</v>
      </c>
      <c r="Q4" s="4" t="s">
        <v>234</v>
      </c>
      <c r="R4" s="4" t="s">
        <v>235</v>
      </c>
      <c r="S4" s="4" t="s">
        <v>236</v>
      </c>
      <c r="T4" s="4" t="s">
        <v>237</v>
      </c>
      <c r="U4" s="4" t="s">
        <v>238</v>
      </c>
      <c r="V4" s="4" t="s">
        <v>239</v>
      </c>
      <c r="W4" s="4" t="s">
        <v>105</v>
      </c>
      <c r="X4" s="4" t="s">
        <v>106</v>
      </c>
    </row>
    <row r="5" spans="1:24" ht="18" customHeight="1" x14ac:dyDescent="0.45">
      <c r="A5" s="5" t="s">
        <v>240</v>
      </c>
      <c r="B5" s="5" t="s">
        <v>241</v>
      </c>
      <c r="C5" s="5" t="s">
        <v>242</v>
      </c>
      <c r="D5" s="5" t="s">
        <v>243</v>
      </c>
      <c r="E5" s="5" t="s">
        <v>244</v>
      </c>
      <c r="F5" s="5" t="s">
        <v>183</v>
      </c>
      <c r="G5" s="5" t="s">
        <v>245</v>
      </c>
      <c r="H5" s="5" t="s">
        <v>186</v>
      </c>
      <c r="I5" s="5" t="s">
        <v>187</v>
      </c>
      <c r="J5" s="5" t="s">
        <v>188</v>
      </c>
      <c r="K5" s="5" t="s">
        <v>189</v>
      </c>
      <c r="L5" s="5" t="s">
        <v>190</v>
      </c>
      <c r="M5" s="5" t="s">
        <v>191</v>
      </c>
      <c r="N5" s="5" t="s">
        <v>192</v>
      </c>
      <c r="O5" s="5" t="s">
        <v>193</v>
      </c>
      <c r="P5" s="5" t="s">
        <v>194</v>
      </c>
      <c r="Q5" s="5" t="s">
        <v>246</v>
      </c>
      <c r="R5" s="5" t="s">
        <v>247</v>
      </c>
      <c r="S5" s="5" t="s">
        <v>248</v>
      </c>
      <c r="T5" s="5" t="s">
        <v>249</v>
      </c>
      <c r="U5" s="5" t="s">
        <v>250</v>
      </c>
      <c r="V5" s="5" t="s">
        <v>251</v>
      </c>
      <c r="W5" s="5" t="s">
        <v>135</v>
      </c>
      <c r="X5" s="5" t="s">
        <v>136</v>
      </c>
    </row>
    <row r="6" spans="1:24" ht="16.05" customHeight="1" x14ac:dyDescent="0.45">
      <c r="A6" s="6" t="s">
        <v>141</v>
      </c>
      <c r="B6" s="6" t="s">
        <v>252</v>
      </c>
      <c r="C6" s="6" t="s">
        <v>195</v>
      </c>
      <c r="D6" s="6" t="s">
        <v>253</v>
      </c>
      <c r="E6" s="6"/>
      <c r="F6" s="6"/>
      <c r="G6" s="6" t="s">
        <v>254</v>
      </c>
      <c r="H6" s="6" t="s">
        <v>255</v>
      </c>
      <c r="I6" s="6"/>
      <c r="J6" s="6"/>
      <c r="K6" s="6" t="s">
        <v>198</v>
      </c>
      <c r="L6" s="6" t="s">
        <v>198</v>
      </c>
      <c r="M6" s="6" t="s">
        <v>199</v>
      </c>
      <c r="N6" s="6" t="s">
        <v>200</v>
      </c>
      <c r="O6" s="6" t="s">
        <v>201</v>
      </c>
      <c r="P6" s="6" t="s">
        <v>256</v>
      </c>
      <c r="Q6" s="6" t="s">
        <v>257</v>
      </c>
      <c r="R6" s="6" t="s">
        <v>258</v>
      </c>
      <c r="S6" s="6" t="s">
        <v>259</v>
      </c>
      <c r="T6" s="6" t="s">
        <v>260</v>
      </c>
      <c r="U6" s="6" t="s">
        <v>22</v>
      </c>
      <c r="V6" s="6"/>
      <c r="W6" s="6" t="s">
        <v>261</v>
      </c>
      <c r="X6" s="6" t="str">
        <f t="shared" ref="X6:X37" si="0">IF((--(A6&lt;&gt;"")+--(D6&lt;&gt;"")+--(Q6&lt;&gt;""))=3,"OK","缺必填")</f>
        <v>OK</v>
      </c>
    </row>
    <row r="7" spans="1:24" ht="16.05" customHeight="1" x14ac:dyDescent="0.4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 t="str">
        <f t="shared" si="0"/>
        <v>缺必填</v>
      </c>
    </row>
    <row r="8" spans="1:24" ht="16.05" customHeight="1" x14ac:dyDescent="0.4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 t="str">
        <f t="shared" si="0"/>
        <v>缺必填</v>
      </c>
    </row>
    <row r="9" spans="1:24" ht="16.05" customHeight="1" x14ac:dyDescent="0.4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 t="str">
        <f t="shared" si="0"/>
        <v>缺必填</v>
      </c>
    </row>
    <row r="10" spans="1:24" ht="16.05" customHeight="1" x14ac:dyDescent="0.4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 t="str">
        <f t="shared" si="0"/>
        <v>缺必填</v>
      </c>
    </row>
    <row r="11" spans="1:24" ht="16.05" customHeight="1" x14ac:dyDescent="0.4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 t="str">
        <f t="shared" si="0"/>
        <v>缺必填</v>
      </c>
    </row>
    <row r="12" spans="1:24" ht="16.05" customHeight="1" x14ac:dyDescent="0.4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 t="str">
        <f t="shared" si="0"/>
        <v>缺必填</v>
      </c>
    </row>
    <row r="13" spans="1:24" ht="16.05" customHeight="1" x14ac:dyDescent="0.4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 t="str">
        <f t="shared" si="0"/>
        <v>缺必填</v>
      </c>
    </row>
    <row r="14" spans="1:24" ht="16.05" customHeight="1" x14ac:dyDescent="0.4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 t="str">
        <f t="shared" si="0"/>
        <v>缺必填</v>
      </c>
    </row>
    <row r="15" spans="1:24" ht="16.05" customHeight="1" x14ac:dyDescent="0.4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 t="str">
        <f t="shared" si="0"/>
        <v>缺必填</v>
      </c>
    </row>
    <row r="16" spans="1:24" ht="16.05" customHeight="1" x14ac:dyDescent="0.4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 t="str">
        <f t="shared" si="0"/>
        <v>缺必填</v>
      </c>
    </row>
    <row r="17" spans="1:24" ht="16.05" customHeight="1" x14ac:dyDescent="0.4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 t="str">
        <f t="shared" si="0"/>
        <v>缺必填</v>
      </c>
    </row>
    <row r="18" spans="1:24" ht="16.05" customHeight="1" x14ac:dyDescent="0.4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 t="str">
        <f t="shared" si="0"/>
        <v>缺必填</v>
      </c>
    </row>
    <row r="19" spans="1:24" ht="16.05" customHeight="1" x14ac:dyDescent="0.4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 t="str">
        <f t="shared" si="0"/>
        <v>缺必填</v>
      </c>
    </row>
    <row r="20" spans="1:24" ht="16.05" customHeight="1" x14ac:dyDescent="0.4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 t="str">
        <f t="shared" si="0"/>
        <v>缺必填</v>
      </c>
    </row>
    <row r="21" spans="1:24" ht="16.05" customHeight="1" x14ac:dyDescent="0.4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 t="str">
        <f t="shared" si="0"/>
        <v>缺必填</v>
      </c>
    </row>
    <row r="22" spans="1:24" ht="16.05" customHeight="1" x14ac:dyDescent="0.4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 t="str">
        <f t="shared" si="0"/>
        <v>缺必填</v>
      </c>
    </row>
    <row r="23" spans="1:24" ht="16.05" customHeight="1" x14ac:dyDescent="0.4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 t="str">
        <f t="shared" si="0"/>
        <v>缺必填</v>
      </c>
    </row>
    <row r="24" spans="1:24" ht="16.05" customHeight="1" x14ac:dyDescent="0.4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 t="str">
        <f t="shared" si="0"/>
        <v>缺必填</v>
      </c>
    </row>
    <row r="25" spans="1:24" ht="16.05" customHeight="1" x14ac:dyDescent="0.4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 t="str">
        <f t="shared" si="0"/>
        <v>缺必填</v>
      </c>
    </row>
    <row r="26" spans="1:24" ht="16.05" customHeight="1" x14ac:dyDescent="0.4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 t="str">
        <f t="shared" si="0"/>
        <v>缺必填</v>
      </c>
    </row>
    <row r="27" spans="1:24" ht="16.05" customHeight="1" x14ac:dyDescent="0.4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 t="str">
        <f t="shared" si="0"/>
        <v>缺必填</v>
      </c>
    </row>
    <row r="28" spans="1:24" ht="16.05" customHeight="1" x14ac:dyDescent="0.4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 t="str">
        <f t="shared" si="0"/>
        <v>缺必填</v>
      </c>
    </row>
    <row r="29" spans="1:24" ht="16.05" customHeight="1" x14ac:dyDescent="0.4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 t="str">
        <f t="shared" si="0"/>
        <v>缺必填</v>
      </c>
    </row>
    <row r="30" spans="1:24" ht="16.05" customHeight="1" x14ac:dyDescent="0.4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 t="str">
        <f t="shared" si="0"/>
        <v>缺必填</v>
      </c>
    </row>
    <row r="31" spans="1:24" ht="16.05" customHeight="1" x14ac:dyDescent="0.4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 t="str">
        <f t="shared" si="0"/>
        <v>缺必填</v>
      </c>
    </row>
    <row r="32" spans="1:24" ht="16.05" customHeight="1" x14ac:dyDescent="0.4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 t="str">
        <f t="shared" si="0"/>
        <v>缺必填</v>
      </c>
    </row>
    <row r="33" spans="1:24" ht="16.05" customHeight="1" x14ac:dyDescent="0.4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 t="str">
        <f t="shared" si="0"/>
        <v>缺必填</v>
      </c>
    </row>
    <row r="34" spans="1:24" ht="16.05" customHeight="1" x14ac:dyDescent="0.4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 t="str">
        <f t="shared" si="0"/>
        <v>缺必填</v>
      </c>
    </row>
    <row r="35" spans="1:24" ht="16.05" customHeight="1" x14ac:dyDescent="0.4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 t="str">
        <f t="shared" si="0"/>
        <v>缺必填</v>
      </c>
    </row>
    <row r="36" spans="1:24" ht="16.05" customHeight="1" x14ac:dyDescent="0.4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 t="str">
        <f t="shared" si="0"/>
        <v>缺必填</v>
      </c>
    </row>
    <row r="37" spans="1:24" ht="16.05" customHeight="1" x14ac:dyDescent="0.4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 t="str">
        <f t="shared" si="0"/>
        <v>缺必填</v>
      </c>
    </row>
    <row r="38" spans="1:24" ht="16.05" customHeight="1" x14ac:dyDescent="0.4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 t="str">
        <f t="shared" ref="X38:X69" si="1">IF((--(A38&lt;&gt;"")+--(D38&lt;&gt;"")+--(Q38&lt;&gt;""))=3,"OK","缺必填")</f>
        <v>缺必填</v>
      </c>
    </row>
    <row r="39" spans="1:24" ht="16.05" customHeight="1" x14ac:dyDescent="0.4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 t="str">
        <f t="shared" si="1"/>
        <v>缺必填</v>
      </c>
    </row>
    <row r="40" spans="1:24" ht="16.05" customHeight="1" x14ac:dyDescent="0.4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 t="str">
        <f t="shared" si="1"/>
        <v>缺必填</v>
      </c>
    </row>
    <row r="41" spans="1:24" ht="16.05" customHeight="1" x14ac:dyDescent="0.4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 t="str">
        <f t="shared" si="1"/>
        <v>缺必填</v>
      </c>
    </row>
    <row r="42" spans="1:24" ht="16.05" customHeight="1" x14ac:dyDescent="0.4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 t="str">
        <f t="shared" si="1"/>
        <v>缺必填</v>
      </c>
    </row>
    <row r="43" spans="1:24" ht="16.05" customHeight="1" x14ac:dyDescent="0.4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 t="str">
        <f t="shared" si="1"/>
        <v>缺必填</v>
      </c>
    </row>
    <row r="44" spans="1:24" ht="16.05" customHeight="1" x14ac:dyDescent="0.4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 t="str">
        <f t="shared" si="1"/>
        <v>缺必填</v>
      </c>
    </row>
    <row r="45" spans="1:24" ht="16.05" customHeight="1" x14ac:dyDescent="0.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 t="str">
        <f t="shared" si="1"/>
        <v>缺必填</v>
      </c>
    </row>
    <row r="46" spans="1:24" ht="16.05" customHeight="1" x14ac:dyDescent="0.4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 t="str">
        <f t="shared" si="1"/>
        <v>缺必填</v>
      </c>
    </row>
    <row r="47" spans="1:24" ht="16.05" customHeight="1" x14ac:dyDescent="0.4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 t="str">
        <f t="shared" si="1"/>
        <v>缺必填</v>
      </c>
    </row>
    <row r="48" spans="1:24" ht="16.05" customHeight="1" x14ac:dyDescent="0.4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 t="str">
        <f t="shared" si="1"/>
        <v>缺必填</v>
      </c>
    </row>
    <row r="49" spans="1:24" ht="16.05" customHeight="1" x14ac:dyDescent="0.4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 t="str">
        <f t="shared" si="1"/>
        <v>缺必填</v>
      </c>
    </row>
    <row r="50" spans="1:24" ht="16.05" customHeight="1" x14ac:dyDescent="0.4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 t="str">
        <f t="shared" si="1"/>
        <v>缺必填</v>
      </c>
    </row>
    <row r="51" spans="1:24" ht="16.05" customHeight="1" x14ac:dyDescent="0.4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 t="str">
        <f t="shared" si="1"/>
        <v>缺必填</v>
      </c>
    </row>
    <row r="52" spans="1:24" ht="16.05" customHeight="1" x14ac:dyDescent="0.4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 t="str">
        <f t="shared" si="1"/>
        <v>缺必填</v>
      </c>
    </row>
    <row r="53" spans="1:24" ht="16.05" customHeight="1" x14ac:dyDescent="0.4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 t="str">
        <f t="shared" si="1"/>
        <v>缺必填</v>
      </c>
    </row>
    <row r="54" spans="1:24" ht="16.05" customHeight="1" x14ac:dyDescent="0.4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 t="str">
        <f t="shared" si="1"/>
        <v>缺必填</v>
      </c>
    </row>
    <row r="55" spans="1:24" ht="16.05" customHeight="1" x14ac:dyDescent="0.4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 t="str">
        <f t="shared" si="1"/>
        <v>缺必填</v>
      </c>
    </row>
    <row r="56" spans="1:24" ht="16.05" customHeight="1" x14ac:dyDescent="0.4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 t="str">
        <f t="shared" si="1"/>
        <v>缺必填</v>
      </c>
    </row>
    <row r="57" spans="1:24" ht="16.05" customHeight="1" x14ac:dyDescent="0.4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 t="str">
        <f t="shared" si="1"/>
        <v>缺必填</v>
      </c>
    </row>
    <row r="58" spans="1:24" ht="16.05" customHeight="1" x14ac:dyDescent="0.4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 t="str">
        <f t="shared" si="1"/>
        <v>缺必填</v>
      </c>
    </row>
    <row r="59" spans="1:24" ht="16.05" customHeight="1" x14ac:dyDescent="0.4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 t="str">
        <f t="shared" si="1"/>
        <v>缺必填</v>
      </c>
    </row>
    <row r="60" spans="1:24" ht="16.05" customHeight="1" x14ac:dyDescent="0.4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 t="str">
        <f t="shared" si="1"/>
        <v>缺必填</v>
      </c>
    </row>
    <row r="61" spans="1:24" ht="16.05" customHeight="1" x14ac:dyDescent="0.4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 t="str">
        <f t="shared" si="1"/>
        <v>缺必填</v>
      </c>
    </row>
    <row r="62" spans="1:24" ht="16.05" customHeight="1" x14ac:dyDescent="0.4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 t="str">
        <f t="shared" si="1"/>
        <v>缺必填</v>
      </c>
    </row>
    <row r="63" spans="1:24" ht="16.05" customHeight="1" x14ac:dyDescent="0.4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 t="str">
        <f t="shared" si="1"/>
        <v>缺必填</v>
      </c>
    </row>
    <row r="64" spans="1:24" ht="16.05" customHeight="1" x14ac:dyDescent="0.4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 t="str">
        <f t="shared" si="1"/>
        <v>缺必填</v>
      </c>
    </row>
    <row r="65" spans="1:24" ht="16.05" customHeight="1" x14ac:dyDescent="0.4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 t="str">
        <f t="shared" si="1"/>
        <v>缺必填</v>
      </c>
    </row>
    <row r="66" spans="1:24" ht="16.05" customHeight="1" x14ac:dyDescent="0.4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 t="str">
        <f t="shared" si="1"/>
        <v>缺必填</v>
      </c>
    </row>
    <row r="67" spans="1:24" ht="16.05" customHeight="1" x14ac:dyDescent="0.4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 t="str">
        <f t="shared" si="1"/>
        <v>缺必填</v>
      </c>
    </row>
    <row r="68" spans="1:24" ht="16.05" customHeight="1" x14ac:dyDescent="0.4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 t="str">
        <f t="shared" si="1"/>
        <v>缺必填</v>
      </c>
    </row>
    <row r="69" spans="1:24" ht="16.05" customHeight="1" x14ac:dyDescent="0.4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 t="str">
        <f t="shared" si="1"/>
        <v>缺必填</v>
      </c>
    </row>
    <row r="70" spans="1:24" ht="16.05" customHeight="1" x14ac:dyDescent="0.4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 t="str">
        <f t="shared" ref="X70:X101" si="2">IF((--(A70&lt;&gt;"")+--(D70&lt;&gt;"")+--(Q70&lt;&gt;""))=3,"OK","缺必填")</f>
        <v>缺必填</v>
      </c>
    </row>
    <row r="71" spans="1:24" ht="16.05" customHeight="1" x14ac:dyDescent="0.4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 t="str">
        <f t="shared" si="2"/>
        <v>缺必填</v>
      </c>
    </row>
    <row r="72" spans="1:24" ht="16.05" customHeight="1" x14ac:dyDescent="0.4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 t="str">
        <f t="shared" si="2"/>
        <v>缺必填</v>
      </c>
    </row>
    <row r="73" spans="1:24" ht="16.05" customHeight="1" x14ac:dyDescent="0.4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 t="str">
        <f t="shared" si="2"/>
        <v>缺必填</v>
      </c>
    </row>
    <row r="74" spans="1:24" ht="16.05" customHeight="1" x14ac:dyDescent="0.4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 t="str">
        <f t="shared" si="2"/>
        <v>缺必填</v>
      </c>
    </row>
    <row r="75" spans="1:24" ht="16.05" customHeight="1" x14ac:dyDescent="0.4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 t="str">
        <f t="shared" si="2"/>
        <v>缺必填</v>
      </c>
    </row>
    <row r="76" spans="1:24" ht="16.05" customHeight="1" x14ac:dyDescent="0.4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 t="str">
        <f t="shared" si="2"/>
        <v>缺必填</v>
      </c>
    </row>
    <row r="77" spans="1:24" ht="16.05" customHeight="1" x14ac:dyDescent="0.4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 t="str">
        <f t="shared" si="2"/>
        <v>缺必填</v>
      </c>
    </row>
    <row r="78" spans="1:24" ht="16.05" customHeight="1" x14ac:dyDescent="0.4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 t="str">
        <f t="shared" si="2"/>
        <v>缺必填</v>
      </c>
    </row>
    <row r="79" spans="1:24" ht="16.05" customHeight="1" x14ac:dyDescent="0.4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 t="str">
        <f t="shared" si="2"/>
        <v>缺必填</v>
      </c>
    </row>
    <row r="80" spans="1:24" ht="16.05" customHeight="1" x14ac:dyDescent="0.4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 t="str">
        <f t="shared" si="2"/>
        <v>缺必填</v>
      </c>
    </row>
    <row r="81" spans="1:24" ht="16.05" customHeight="1" x14ac:dyDescent="0.4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 t="str">
        <f t="shared" si="2"/>
        <v>缺必填</v>
      </c>
    </row>
    <row r="82" spans="1:24" ht="16.05" customHeight="1" x14ac:dyDescent="0.4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 t="str">
        <f t="shared" si="2"/>
        <v>缺必填</v>
      </c>
    </row>
    <row r="83" spans="1:24" ht="16.05" customHeight="1" x14ac:dyDescent="0.4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 t="str">
        <f t="shared" si="2"/>
        <v>缺必填</v>
      </c>
    </row>
    <row r="84" spans="1:24" ht="16.05" customHeight="1" x14ac:dyDescent="0.4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 t="str">
        <f t="shared" si="2"/>
        <v>缺必填</v>
      </c>
    </row>
    <row r="85" spans="1:24" ht="16.05" customHeight="1" x14ac:dyDescent="0.4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 t="str">
        <f t="shared" si="2"/>
        <v>缺必填</v>
      </c>
    </row>
    <row r="86" spans="1:24" ht="16.05" customHeight="1" x14ac:dyDescent="0.4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 t="str">
        <f t="shared" si="2"/>
        <v>缺必填</v>
      </c>
    </row>
    <row r="87" spans="1:24" ht="16.05" customHeight="1" x14ac:dyDescent="0.4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 t="str">
        <f t="shared" si="2"/>
        <v>缺必填</v>
      </c>
    </row>
    <row r="88" spans="1:24" ht="16.05" customHeight="1" x14ac:dyDescent="0.4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 t="str">
        <f t="shared" si="2"/>
        <v>缺必填</v>
      </c>
    </row>
    <row r="89" spans="1:24" ht="16.05" customHeight="1" x14ac:dyDescent="0.4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 t="str">
        <f t="shared" si="2"/>
        <v>缺必填</v>
      </c>
    </row>
    <row r="90" spans="1:24" ht="16.05" customHeight="1" x14ac:dyDescent="0.4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 t="str">
        <f t="shared" si="2"/>
        <v>缺必填</v>
      </c>
    </row>
    <row r="91" spans="1:24" ht="16.05" customHeight="1" x14ac:dyDescent="0.4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 t="str">
        <f t="shared" si="2"/>
        <v>缺必填</v>
      </c>
    </row>
    <row r="92" spans="1:24" ht="16.05" customHeight="1" x14ac:dyDescent="0.4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 t="str">
        <f t="shared" si="2"/>
        <v>缺必填</v>
      </c>
    </row>
    <row r="93" spans="1:24" ht="16.05" customHeight="1" x14ac:dyDescent="0.4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 t="str">
        <f t="shared" si="2"/>
        <v>缺必填</v>
      </c>
    </row>
    <row r="94" spans="1:24" ht="16.05" customHeight="1" x14ac:dyDescent="0.4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 t="str">
        <f t="shared" si="2"/>
        <v>缺必填</v>
      </c>
    </row>
    <row r="95" spans="1:24" ht="16.05" customHeight="1" x14ac:dyDescent="0.4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 t="str">
        <f t="shared" si="2"/>
        <v>缺必填</v>
      </c>
    </row>
    <row r="96" spans="1:24" ht="16.05" customHeight="1" x14ac:dyDescent="0.4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 t="str">
        <f t="shared" si="2"/>
        <v>缺必填</v>
      </c>
    </row>
    <row r="97" spans="1:24" ht="16.05" customHeight="1" x14ac:dyDescent="0.4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 t="str">
        <f t="shared" si="2"/>
        <v>缺必填</v>
      </c>
    </row>
    <row r="98" spans="1:24" ht="16.05" customHeight="1" x14ac:dyDescent="0.4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 t="str">
        <f t="shared" si="2"/>
        <v>缺必填</v>
      </c>
    </row>
    <row r="99" spans="1:24" ht="16.05" customHeight="1" x14ac:dyDescent="0.4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 t="str">
        <f t="shared" si="2"/>
        <v>缺必填</v>
      </c>
    </row>
    <row r="100" spans="1:24" ht="16.05" customHeight="1" x14ac:dyDescent="0.4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 t="str">
        <f t="shared" si="2"/>
        <v>缺必填</v>
      </c>
    </row>
    <row r="101" spans="1:24" ht="16.05" customHeight="1" x14ac:dyDescent="0.4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 t="str">
        <f t="shared" si="2"/>
        <v>缺必填</v>
      </c>
    </row>
    <row r="102" spans="1:24" ht="16.05" customHeight="1" x14ac:dyDescent="0.4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 t="str">
        <f t="shared" ref="X102:X133" si="3">IF((--(A102&lt;&gt;"")+--(D102&lt;&gt;"")+--(Q102&lt;&gt;""))=3,"OK","缺必填")</f>
        <v>缺必填</v>
      </c>
    </row>
    <row r="103" spans="1:24" ht="16.05" customHeight="1" x14ac:dyDescent="0.4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 t="str">
        <f t="shared" si="3"/>
        <v>缺必填</v>
      </c>
    </row>
    <row r="104" spans="1:24" ht="16.05" customHeight="1" x14ac:dyDescent="0.4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 t="str">
        <f t="shared" si="3"/>
        <v>缺必填</v>
      </c>
    </row>
    <row r="105" spans="1:24" ht="16.05" customHeight="1" x14ac:dyDescent="0.4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 t="str">
        <f t="shared" si="3"/>
        <v>缺必填</v>
      </c>
    </row>
    <row r="106" spans="1:24" ht="16.05" customHeight="1" x14ac:dyDescent="0.4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 t="str">
        <f t="shared" si="3"/>
        <v>缺必填</v>
      </c>
    </row>
    <row r="107" spans="1:24" ht="16.05" customHeight="1" x14ac:dyDescent="0.4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 t="str">
        <f t="shared" si="3"/>
        <v>缺必填</v>
      </c>
    </row>
    <row r="108" spans="1:24" ht="16.05" customHeight="1" x14ac:dyDescent="0.4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 t="str">
        <f t="shared" si="3"/>
        <v>缺必填</v>
      </c>
    </row>
    <row r="109" spans="1:24" ht="16.05" customHeight="1" x14ac:dyDescent="0.4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 t="str">
        <f t="shared" si="3"/>
        <v>缺必填</v>
      </c>
    </row>
    <row r="110" spans="1:24" ht="16.05" customHeight="1" x14ac:dyDescent="0.4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 t="str">
        <f t="shared" si="3"/>
        <v>缺必填</v>
      </c>
    </row>
    <row r="111" spans="1:24" ht="16.05" customHeight="1" x14ac:dyDescent="0.4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 t="str">
        <f t="shared" si="3"/>
        <v>缺必填</v>
      </c>
    </row>
    <row r="112" spans="1:24" ht="16.05" customHeight="1" x14ac:dyDescent="0.4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 t="str">
        <f t="shared" si="3"/>
        <v>缺必填</v>
      </c>
    </row>
    <row r="113" spans="1:24" ht="16.05" customHeight="1" x14ac:dyDescent="0.4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 t="str">
        <f t="shared" si="3"/>
        <v>缺必填</v>
      </c>
    </row>
    <row r="114" spans="1:24" ht="16.05" customHeight="1" x14ac:dyDescent="0.4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 t="str">
        <f t="shared" si="3"/>
        <v>缺必填</v>
      </c>
    </row>
    <row r="115" spans="1:24" ht="16.05" customHeight="1" x14ac:dyDescent="0.4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 t="str">
        <f t="shared" si="3"/>
        <v>缺必填</v>
      </c>
    </row>
    <row r="116" spans="1:24" ht="16.05" customHeight="1" x14ac:dyDescent="0.4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 t="str">
        <f t="shared" si="3"/>
        <v>缺必填</v>
      </c>
    </row>
    <row r="117" spans="1:24" ht="16.05" customHeight="1" x14ac:dyDescent="0.4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 t="str">
        <f t="shared" si="3"/>
        <v>缺必填</v>
      </c>
    </row>
    <row r="118" spans="1:24" ht="16.05" customHeight="1" x14ac:dyDescent="0.4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 t="str">
        <f t="shared" si="3"/>
        <v>缺必填</v>
      </c>
    </row>
    <row r="119" spans="1:24" ht="16.05" customHeight="1" x14ac:dyDescent="0.4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 t="str">
        <f t="shared" si="3"/>
        <v>缺必填</v>
      </c>
    </row>
    <row r="120" spans="1:24" ht="16.05" customHeight="1" x14ac:dyDescent="0.4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 t="str">
        <f t="shared" si="3"/>
        <v>缺必填</v>
      </c>
    </row>
    <row r="121" spans="1:24" ht="16.05" customHeight="1" x14ac:dyDescent="0.4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 t="str">
        <f t="shared" si="3"/>
        <v>缺必填</v>
      </c>
    </row>
    <row r="122" spans="1:24" ht="16.05" customHeight="1" x14ac:dyDescent="0.4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 t="str">
        <f t="shared" si="3"/>
        <v>缺必填</v>
      </c>
    </row>
    <row r="123" spans="1:24" ht="16.05" customHeight="1" x14ac:dyDescent="0.4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 t="str">
        <f t="shared" si="3"/>
        <v>缺必填</v>
      </c>
    </row>
    <row r="124" spans="1:24" ht="16.05" customHeight="1" x14ac:dyDescent="0.4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 t="str">
        <f t="shared" si="3"/>
        <v>缺必填</v>
      </c>
    </row>
    <row r="125" spans="1:24" ht="16.05" customHeight="1" x14ac:dyDescent="0.4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 t="str">
        <f t="shared" si="3"/>
        <v>缺必填</v>
      </c>
    </row>
    <row r="126" spans="1:24" ht="16.05" customHeight="1" x14ac:dyDescent="0.4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 t="str">
        <f t="shared" si="3"/>
        <v>缺必填</v>
      </c>
    </row>
    <row r="127" spans="1:24" ht="16.05" customHeight="1" x14ac:dyDescent="0.4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 t="str">
        <f t="shared" si="3"/>
        <v>缺必填</v>
      </c>
    </row>
    <row r="128" spans="1:24" ht="16.05" customHeight="1" x14ac:dyDescent="0.4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 t="str">
        <f t="shared" si="3"/>
        <v>缺必填</v>
      </c>
    </row>
    <row r="129" spans="1:24" ht="16.05" customHeight="1" x14ac:dyDescent="0.4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 t="str">
        <f t="shared" si="3"/>
        <v>缺必填</v>
      </c>
    </row>
    <row r="130" spans="1:24" ht="16.05" customHeight="1" x14ac:dyDescent="0.4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 t="str">
        <f t="shared" si="3"/>
        <v>缺必填</v>
      </c>
    </row>
    <row r="131" spans="1:24" ht="16.05" customHeight="1" x14ac:dyDescent="0.4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 t="str">
        <f t="shared" si="3"/>
        <v>缺必填</v>
      </c>
    </row>
    <row r="132" spans="1:24" ht="16.05" customHeight="1" x14ac:dyDescent="0.4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 t="str">
        <f t="shared" si="3"/>
        <v>缺必填</v>
      </c>
    </row>
    <row r="133" spans="1:24" ht="16.05" customHeight="1" x14ac:dyDescent="0.4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 t="str">
        <f t="shared" si="3"/>
        <v>缺必填</v>
      </c>
    </row>
    <row r="134" spans="1:24" ht="16.05" customHeight="1" x14ac:dyDescent="0.4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 t="str">
        <f t="shared" ref="X134:X165" si="4">IF((--(A134&lt;&gt;"")+--(D134&lt;&gt;"")+--(Q134&lt;&gt;""))=3,"OK","缺必填")</f>
        <v>缺必填</v>
      </c>
    </row>
    <row r="135" spans="1:24" ht="16.05" customHeight="1" x14ac:dyDescent="0.4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 t="str">
        <f t="shared" si="4"/>
        <v>缺必填</v>
      </c>
    </row>
    <row r="136" spans="1:24" ht="16.05" customHeight="1" x14ac:dyDescent="0.4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 t="str">
        <f t="shared" si="4"/>
        <v>缺必填</v>
      </c>
    </row>
    <row r="137" spans="1:24" ht="16.05" customHeight="1" x14ac:dyDescent="0.4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 t="str">
        <f t="shared" si="4"/>
        <v>缺必填</v>
      </c>
    </row>
    <row r="138" spans="1:24" ht="16.05" customHeight="1" x14ac:dyDescent="0.4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 t="str">
        <f t="shared" si="4"/>
        <v>缺必填</v>
      </c>
    </row>
    <row r="139" spans="1:24" ht="16.05" customHeight="1" x14ac:dyDescent="0.4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 t="str">
        <f t="shared" si="4"/>
        <v>缺必填</v>
      </c>
    </row>
    <row r="140" spans="1:24" ht="16.05" customHeight="1" x14ac:dyDescent="0.4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 t="str">
        <f t="shared" si="4"/>
        <v>缺必填</v>
      </c>
    </row>
    <row r="141" spans="1:24" ht="16.05" customHeight="1" x14ac:dyDescent="0.4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 t="str">
        <f t="shared" si="4"/>
        <v>缺必填</v>
      </c>
    </row>
    <row r="142" spans="1:24" ht="16.05" customHeight="1" x14ac:dyDescent="0.4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 t="str">
        <f t="shared" si="4"/>
        <v>缺必填</v>
      </c>
    </row>
    <row r="143" spans="1:24" ht="16.05" customHeight="1" x14ac:dyDescent="0.4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 t="str">
        <f t="shared" si="4"/>
        <v>缺必填</v>
      </c>
    </row>
    <row r="144" spans="1:24" ht="16.05" customHeight="1" x14ac:dyDescent="0.4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 t="str">
        <f t="shared" si="4"/>
        <v>缺必填</v>
      </c>
    </row>
    <row r="145" spans="1:24" ht="16.05" customHeight="1" x14ac:dyDescent="0.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 t="str">
        <f t="shared" si="4"/>
        <v>缺必填</v>
      </c>
    </row>
    <row r="146" spans="1:24" ht="16.05" customHeight="1" x14ac:dyDescent="0.4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 t="str">
        <f t="shared" si="4"/>
        <v>缺必填</v>
      </c>
    </row>
    <row r="147" spans="1:24" ht="16.05" customHeight="1" x14ac:dyDescent="0.4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 t="str">
        <f t="shared" si="4"/>
        <v>缺必填</v>
      </c>
    </row>
    <row r="148" spans="1:24" ht="16.05" customHeight="1" x14ac:dyDescent="0.4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 t="str">
        <f t="shared" si="4"/>
        <v>缺必填</v>
      </c>
    </row>
    <row r="149" spans="1:24" ht="16.05" customHeight="1" x14ac:dyDescent="0.4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 t="str">
        <f t="shared" si="4"/>
        <v>缺必填</v>
      </c>
    </row>
    <row r="150" spans="1:24" ht="16.05" customHeight="1" x14ac:dyDescent="0.4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 t="str">
        <f t="shared" si="4"/>
        <v>缺必填</v>
      </c>
    </row>
    <row r="151" spans="1:24" ht="16.05" customHeight="1" x14ac:dyDescent="0.4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 t="str">
        <f t="shared" si="4"/>
        <v>缺必填</v>
      </c>
    </row>
    <row r="152" spans="1:24" ht="16.05" customHeight="1" x14ac:dyDescent="0.4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 t="str">
        <f t="shared" si="4"/>
        <v>缺必填</v>
      </c>
    </row>
    <row r="153" spans="1:24" ht="16.05" customHeight="1" x14ac:dyDescent="0.4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 t="str">
        <f t="shared" si="4"/>
        <v>缺必填</v>
      </c>
    </row>
    <row r="154" spans="1:24" ht="16.05" customHeight="1" x14ac:dyDescent="0.4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 t="str">
        <f t="shared" si="4"/>
        <v>缺必填</v>
      </c>
    </row>
    <row r="155" spans="1:24" ht="16.05" customHeight="1" x14ac:dyDescent="0.4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 t="str">
        <f t="shared" si="4"/>
        <v>缺必填</v>
      </c>
    </row>
    <row r="156" spans="1:24" ht="16.05" customHeight="1" x14ac:dyDescent="0.4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 t="str">
        <f t="shared" si="4"/>
        <v>缺必填</v>
      </c>
    </row>
    <row r="157" spans="1:24" ht="16.05" customHeight="1" x14ac:dyDescent="0.4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 t="str">
        <f t="shared" si="4"/>
        <v>缺必填</v>
      </c>
    </row>
    <row r="158" spans="1:24" ht="16.05" customHeight="1" x14ac:dyDescent="0.4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 t="str">
        <f t="shared" si="4"/>
        <v>缺必填</v>
      </c>
    </row>
    <row r="159" spans="1:24" ht="16.05" customHeight="1" x14ac:dyDescent="0.4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 t="str">
        <f t="shared" si="4"/>
        <v>缺必填</v>
      </c>
    </row>
    <row r="160" spans="1:24" ht="16.05" customHeight="1" x14ac:dyDescent="0.4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 t="str">
        <f t="shared" si="4"/>
        <v>缺必填</v>
      </c>
    </row>
    <row r="161" spans="1:24" ht="16.05" customHeight="1" x14ac:dyDescent="0.4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 t="str">
        <f t="shared" si="4"/>
        <v>缺必填</v>
      </c>
    </row>
    <row r="162" spans="1:24" ht="16.05" customHeight="1" x14ac:dyDescent="0.4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 t="str">
        <f t="shared" si="4"/>
        <v>缺必填</v>
      </c>
    </row>
    <row r="163" spans="1:24" ht="16.05" customHeight="1" x14ac:dyDescent="0.4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 t="str">
        <f t="shared" si="4"/>
        <v>缺必填</v>
      </c>
    </row>
    <row r="164" spans="1:24" ht="16.05" customHeight="1" x14ac:dyDescent="0.4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 t="str">
        <f t="shared" si="4"/>
        <v>缺必填</v>
      </c>
    </row>
    <row r="165" spans="1:24" ht="16.05" customHeight="1" x14ac:dyDescent="0.4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 t="str">
        <f t="shared" si="4"/>
        <v>缺必填</v>
      </c>
    </row>
    <row r="166" spans="1:24" ht="16.05" customHeight="1" x14ac:dyDescent="0.4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 t="str">
        <f t="shared" ref="X166:X197" si="5">IF((--(A166&lt;&gt;"")+--(D166&lt;&gt;"")+--(Q166&lt;&gt;""))=3,"OK","缺必填")</f>
        <v>缺必填</v>
      </c>
    </row>
    <row r="167" spans="1:24" ht="16.05" customHeight="1" x14ac:dyDescent="0.4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 t="str">
        <f t="shared" si="5"/>
        <v>缺必填</v>
      </c>
    </row>
    <row r="168" spans="1:24" ht="16.05" customHeight="1" x14ac:dyDescent="0.4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 t="str">
        <f t="shared" si="5"/>
        <v>缺必填</v>
      </c>
    </row>
    <row r="169" spans="1:24" ht="16.05" customHeight="1" x14ac:dyDescent="0.4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 t="str">
        <f t="shared" si="5"/>
        <v>缺必填</v>
      </c>
    </row>
    <row r="170" spans="1:24" ht="16.05" customHeight="1" x14ac:dyDescent="0.4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 t="str">
        <f t="shared" si="5"/>
        <v>缺必填</v>
      </c>
    </row>
    <row r="171" spans="1:24" ht="16.05" customHeight="1" x14ac:dyDescent="0.4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 t="str">
        <f t="shared" si="5"/>
        <v>缺必填</v>
      </c>
    </row>
    <row r="172" spans="1:24" ht="16.05" customHeight="1" x14ac:dyDescent="0.4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 t="str">
        <f t="shared" si="5"/>
        <v>缺必填</v>
      </c>
    </row>
    <row r="173" spans="1:24" ht="16.05" customHeight="1" x14ac:dyDescent="0.4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 t="str">
        <f t="shared" si="5"/>
        <v>缺必填</v>
      </c>
    </row>
    <row r="174" spans="1:24" ht="16.05" customHeight="1" x14ac:dyDescent="0.4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 t="str">
        <f t="shared" si="5"/>
        <v>缺必填</v>
      </c>
    </row>
    <row r="175" spans="1:24" ht="16.05" customHeight="1" x14ac:dyDescent="0.4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 t="str">
        <f t="shared" si="5"/>
        <v>缺必填</v>
      </c>
    </row>
    <row r="176" spans="1:24" ht="16.05" customHeight="1" x14ac:dyDescent="0.4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 t="str">
        <f t="shared" si="5"/>
        <v>缺必填</v>
      </c>
    </row>
    <row r="177" spans="1:24" ht="16.05" customHeight="1" x14ac:dyDescent="0.4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 t="str">
        <f t="shared" si="5"/>
        <v>缺必填</v>
      </c>
    </row>
    <row r="178" spans="1:24" ht="16.05" customHeight="1" x14ac:dyDescent="0.4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 t="str">
        <f t="shared" si="5"/>
        <v>缺必填</v>
      </c>
    </row>
    <row r="179" spans="1:24" ht="16.05" customHeight="1" x14ac:dyDescent="0.4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 t="str">
        <f t="shared" si="5"/>
        <v>缺必填</v>
      </c>
    </row>
    <row r="180" spans="1:24" ht="16.05" customHeight="1" x14ac:dyDescent="0.4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 t="str">
        <f t="shared" si="5"/>
        <v>缺必填</v>
      </c>
    </row>
    <row r="181" spans="1:24" ht="16.05" customHeight="1" x14ac:dyDescent="0.4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 t="str">
        <f t="shared" si="5"/>
        <v>缺必填</v>
      </c>
    </row>
    <row r="182" spans="1:24" ht="16.05" customHeight="1" x14ac:dyDescent="0.4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 t="str">
        <f t="shared" si="5"/>
        <v>缺必填</v>
      </c>
    </row>
    <row r="183" spans="1:24" ht="16.05" customHeight="1" x14ac:dyDescent="0.4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 t="str">
        <f t="shared" si="5"/>
        <v>缺必填</v>
      </c>
    </row>
    <row r="184" spans="1:24" ht="16.05" customHeight="1" x14ac:dyDescent="0.4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 t="str">
        <f t="shared" si="5"/>
        <v>缺必填</v>
      </c>
    </row>
    <row r="185" spans="1:24" ht="16.05" customHeight="1" x14ac:dyDescent="0.4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 t="str">
        <f t="shared" si="5"/>
        <v>缺必填</v>
      </c>
    </row>
    <row r="186" spans="1:24" ht="16.05" customHeight="1" x14ac:dyDescent="0.4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 t="str">
        <f t="shared" si="5"/>
        <v>缺必填</v>
      </c>
    </row>
    <row r="187" spans="1:24" ht="16.05" customHeight="1" x14ac:dyDescent="0.4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 t="str">
        <f t="shared" si="5"/>
        <v>缺必填</v>
      </c>
    </row>
    <row r="188" spans="1:24" ht="16.05" customHeight="1" x14ac:dyDescent="0.4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 t="str">
        <f t="shared" si="5"/>
        <v>缺必填</v>
      </c>
    </row>
    <row r="189" spans="1:24" ht="16.05" customHeight="1" x14ac:dyDescent="0.4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 t="str">
        <f t="shared" si="5"/>
        <v>缺必填</v>
      </c>
    </row>
    <row r="190" spans="1:24" ht="16.05" customHeight="1" x14ac:dyDescent="0.4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 t="str">
        <f t="shared" si="5"/>
        <v>缺必填</v>
      </c>
    </row>
    <row r="191" spans="1:24" ht="16.05" customHeight="1" x14ac:dyDescent="0.4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 t="str">
        <f t="shared" si="5"/>
        <v>缺必填</v>
      </c>
    </row>
    <row r="192" spans="1:24" ht="16.05" customHeight="1" x14ac:dyDescent="0.4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 t="str">
        <f t="shared" si="5"/>
        <v>缺必填</v>
      </c>
    </row>
    <row r="193" spans="1:24" ht="16.05" customHeight="1" x14ac:dyDescent="0.4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 t="str">
        <f t="shared" si="5"/>
        <v>缺必填</v>
      </c>
    </row>
    <row r="194" spans="1:24" ht="16.05" customHeight="1" x14ac:dyDescent="0.4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 t="str">
        <f t="shared" si="5"/>
        <v>缺必填</v>
      </c>
    </row>
    <row r="195" spans="1:24" ht="16.05" customHeight="1" x14ac:dyDescent="0.4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 t="str">
        <f t="shared" si="5"/>
        <v>缺必填</v>
      </c>
    </row>
    <row r="196" spans="1:24" ht="16.05" customHeight="1" x14ac:dyDescent="0.4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 t="str">
        <f t="shared" si="5"/>
        <v>缺必填</v>
      </c>
    </row>
    <row r="197" spans="1:24" ht="16.05" customHeight="1" x14ac:dyDescent="0.4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 t="str">
        <f t="shared" si="5"/>
        <v>缺必填</v>
      </c>
    </row>
    <row r="198" spans="1:24" ht="16.05" customHeight="1" x14ac:dyDescent="0.4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 t="str">
        <f t="shared" ref="X198:X205" si="6">IF((--(A198&lt;&gt;"")+--(D198&lt;&gt;"")+--(Q198&lt;&gt;""))=3,"OK","缺必填")</f>
        <v>缺必填</v>
      </c>
    </row>
    <row r="199" spans="1:24" ht="16.05" customHeight="1" x14ac:dyDescent="0.4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 t="str">
        <f t="shared" si="6"/>
        <v>缺必填</v>
      </c>
    </row>
    <row r="200" spans="1:24" ht="16.05" customHeight="1" x14ac:dyDescent="0.4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 t="str">
        <f t="shared" si="6"/>
        <v>缺必填</v>
      </c>
    </row>
    <row r="201" spans="1:24" ht="16.05" customHeight="1" x14ac:dyDescent="0.4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 t="str">
        <f t="shared" si="6"/>
        <v>缺必填</v>
      </c>
    </row>
    <row r="202" spans="1:24" ht="16.05" customHeight="1" x14ac:dyDescent="0.4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 t="str">
        <f t="shared" si="6"/>
        <v>缺必填</v>
      </c>
    </row>
    <row r="203" spans="1:24" ht="16.05" customHeight="1" x14ac:dyDescent="0.4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 t="str">
        <f t="shared" si="6"/>
        <v>缺必填</v>
      </c>
    </row>
    <row r="204" spans="1:24" ht="16.05" customHeight="1" x14ac:dyDescent="0.4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 t="str">
        <f t="shared" si="6"/>
        <v>缺必填</v>
      </c>
    </row>
    <row r="205" spans="1:24" ht="16.05" customHeight="1" x14ac:dyDescent="0.4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 t="str">
        <f t="shared" si="6"/>
        <v>缺必填</v>
      </c>
    </row>
  </sheetData>
  <mergeCells count="2">
    <mergeCell ref="A1:X1"/>
    <mergeCell ref="A2:X2"/>
  </mergeCells>
  <phoneticPr fontId="10" type="noConversion"/>
  <conditionalFormatting sqref="X6:X205">
    <cfRule type="expression" dxfId="9" priority="1">
      <formula>$X6="缺必填"</formula>
    </cfRule>
    <cfRule type="expression" dxfId="8" priority="2">
      <formula>$X6="OK"</formula>
    </cfRule>
  </conditionalFormatting>
  <dataValidations count="4">
    <dataValidation type="list" sqref="D6:D205">
      <formula1>"LAB,ITL"</formula1>
    </dataValidation>
    <dataValidation type="list" sqref="C6:C205">
      <formula1>"Y,N"</formula1>
    </dataValidation>
    <dataValidation type="list" sqref="M6:M205">
      <formula1>"USA,China,Japan,Taiwan,Vietnam,Thailand,Malaysia,Indonesia,Philippines,Korea,India,Mexico,Canada"</formula1>
    </dataValidation>
    <dataValidation type="list" sqref="U6:U205">
      <formula1>"false,true,No,Yes"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5"/>
  <sheetViews>
    <sheetView workbookViewId="0"/>
  </sheetViews>
  <sheetFormatPr defaultRowHeight="14.25" x14ac:dyDescent="0.45"/>
  <cols>
    <col min="1" max="3" width="18" customWidth="1"/>
    <col min="4" max="4" width="14" customWidth="1"/>
    <col min="5" max="5" width="18" customWidth="1"/>
    <col min="6" max="7" width="28" customWidth="1"/>
    <col min="8" max="8" width="18" customWidth="1"/>
    <col min="9" max="14" width="14" customWidth="1"/>
    <col min="15" max="15" width="28" customWidth="1"/>
    <col min="16" max="16" width="16" customWidth="1"/>
  </cols>
  <sheetData>
    <row r="1" spans="1:16" ht="14" customHeight="1" x14ac:dyDescent="0.45">
      <c r="A1" s="8" t="s">
        <v>262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16" ht="16.05" customHeight="1" x14ac:dyDescent="0.45">
      <c r="A2" s="10" t="s">
        <v>263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16" ht="14" customHeight="1" x14ac:dyDescent="0.45">
      <c r="A3" s="4" t="s">
        <v>58</v>
      </c>
      <c r="B3" s="4" t="s">
        <v>159</v>
      </c>
      <c r="C3" s="4" t="s">
        <v>264</v>
      </c>
      <c r="D3" s="4" t="s">
        <v>265</v>
      </c>
      <c r="E3" s="4" t="s">
        <v>266</v>
      </c>
      <c r="F3" s="4" t="s">
        <v>267</v>
      </c>
      <c r="G3" s="4" t="s">
        <v>162</v>
      </c>
      <c r="H3" s="4" t="s">
        <v>163</v>
      </c>
      <c r="I3" s="4" t="s">
        <v>268</v>
      </c>
      <c r="J3" s="4" t="s">
        <v>266</v>
      </c>
      <c r="K3" s="4" t="s">
        <v>269</v>
      </c>
      <c r="L3" s="4" t="s">
        <v>270</v>
      </c>
      <c r="M3" s="4" t="s">
        <v>271</v>
      </c>
      <c r="N3" s="4" t="s">
        <v>268</v>
      </c>
      <c r="O3" s="4" t="s">
        <v>76</v>
      </c>
      <c r="P3" s="4" t="s">
        <v>77</v>
      </c>
    </row>
    <row r="4" spans="1:16" ht="14" customHeight="1" x14ac:dyDescent="0.45">
      <c r="A4" s="4" t="s">
        <v>272</v>
      </c>
      <c r="B4" s="4" t="s">
        <v>273</v>
      </c>
      <c r="C4" s="4" t="s">
        <v>274</v>
      </c>
      <c r="D4" s="4" t="s">
        <v>275</v>
      </c>
      <c r="E4" s="4" t="s">
        <v>276</v>
      </c>
      <c r="F4" s="4" t="s">
        <v>277</v>
      </c>
      <c r="G4" s="4" t="s">
        <v>278</v>
      </c>
      <c r="H4" s="4" t="s">
        <v>279</v>
      </c>
      <c r="I4" s="4" t="s">
        <v>280</v>
      </c>
      <c r="J4" s="4" t="s">
        <v>281</v>
      </c>
      <c r="K4" s="4" t="s">
        <v>282</v>
      </c>
      <c r="L4" s="4" t="s">
        <v>283</v>
      </c>
      <c r="M4" s="4" t="s">
        <v>284</v>
      </c>
      <c r="N4" s="4" t="s">
        <v>285</v>
      </c>
      <c r="O4" s="4" t="s">
        <v>105</v>
      </c>
      <c r="P4" s="4" t="s">
        <v>106</v>
      </c>
    </row>
    <row r="5" spans="1:16" ht="18" customHeight="1" x14ac:dyDescent="0.45">
      <c r="A5" s="5" t="s">
        <v>134</v>
      </c>
      <c r="B5" s="5" t="s">
        <v>286</v>
      </c>
      <c r="C5" s="5" t="s">
        <v>287</v>
      </c>
      <c r="D5" s="5" t="s">
        <v>183</v>
      </c>
      <c r="E5" s="5" t="s">
        <v>288</v>
      </c>
      <c r="F5" s="5" t="s">
        <v>186</v>
      </c>
      <c r="G5" s="5" t="s">
        <v>187</v>
      </c>
      <c r="H5" s="5" t="s">
        <v>188</v>
      </c>
      <c r="I5" s="5" t="s">
        <v>189</v>
      </c>
      <c r="J5" s="5" t="s">
        <v>190</v>
      </c>
      <c r="K5" s="5" t="s">
        <v>191</v>
      </c>
      <c r="L5" s="5" t="s">
        <v>192</v>
      </c>
      <c r="M5" s="5" t="s">
        <v>193</v>
      </c>
      <c r="N5" s="5" t="s">
        <v>194</v>
      </c>
      <c r="O5" s="5" t="s">
        <v>135</v>
      </c>
      <c r="P5" s="5" t="s">
        <v>136</v>
      </c>
    </row>
    <row r="6" spans="1:16" ht="16.05" customHeight="1" x14ac:dyDescent="0.45">
      <c r="A6" s="6" t="s">
        <v>155</v>
      </c>
      <c r="B6" s="6" t="s">
        <v>139</v>
      </c>
      <c r="C6" s="6" t="s">
        <v>289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 t="s">
        <v>290</v>
      </c>
      <c r="P6" s="6" t="str">
        <f t="shared" ref="P6:P37" si="0">IF((--(C6&lt;&gt;""))=1,"OK","缺必填")</f>
        <v>OK</v>
      </c>
    </row>
    <row r="7" spans="1:16" ht="16.05" customHeight="1" x14ac:dyDescent="0.4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 t="str">
        <f t="shared" si="0"/>
        <v>缺必填</v>
      </c>
    </row>
    <row r="8" spans="1:16" ht="16.05" customHeight="1" x14ac:dyDescent="0.4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 t="str">
        <f t="shared" si="0"/>
        <v>缺必填</v>
      </c>
    </row>
    <row r="9" spans="1:16" ht="16.05" customHeight="1" x14ac:dyDescent="0.4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 t="str">
        <f t="shared" si="0"/>
        <v>缺必填</v>
      </c>
    </row>
    <row r="10" spans="1:16" ht="16.05" customHeight="1" x14ac:dyDescent="0.4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 t="str">
        <f t="shared" si="0"/>
        <v>缺必填</v>
      </c>
    </row>
    <row r="11" spans="1:16" ht="16.05" customHeight="1" x14ac:dyDescent="0.4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 t="str">
        <f t="shared" si="0"/>
        <v>缺必填</v>
      </c>
    </row>
    <row r="12" spans="1:16" ht="16.05" customHeight="1" x14ac:dyDescent="0.4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 t="str">
        <f t="shared" si="0"/>
        <v>缺必填</v>
      </c>
    </row>
    <row r="13" spans="1:16" ht="16.05" customHeight="1" x14ac:dyDescent="0.4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 t="str">
        <f t="shared" si="0"/>
        <v>缺必填</v>
      </c>
    </row>
    <row r="14" spans="1:16" ht="16.05" customHeight="1" x14ac:dyDescent="0.4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 t="str">
        <f t="shared" si="0"/>
        <v>缺必填</v>
      </c>
    </row>
    <row r="15" spans="1:16" ht="16.05" customHeight="1" x14ac:dyDescent="0.4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 t="str">
        <f t="shared" si="0"/>
        <v>缺必填</v>
      </c>
    </row>
    <row r="16" spans="1:16" ht="16.05" customHeight="1" x14ac:dyDescent="0.4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 t="str">
        <f t="shared" si="0"/>
        <v>缺必填</v>
      </c>
    </row>
    <row r="17" spans="1:16" ht="16.05" customHeight="1" x14ac:dyDescent="0.4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 t="str">
        <f t="shared" si="0"/>
        <v>缺必填</v>
      </c>
    </row>
    <row r="18" spans="1:16" ht="16.05" customHeight="1" x14ac:dyDescent="0.4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 t="str">
        <f t="shared" si="0"/>
        <v>缺必填</v>
      </c>
    </row>
    <row r="19" spans="1:16" ht="16.05" customHeight="1" x14ac:dyDescent="0.4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 t="str">
        <f t="shared" si="0"/>
        <v>缺必填</v>
      </c>
    </row>
    <row r="20" spans="1:16" ht="16.05" customHeight="1" x14ac:dyDescent="0.4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 t="str">
        <f t="shared" si="0"/>
        <v>缺必填</v>
      </c>
    </row>
    <row r="21" spans="1:16" ht="16.05" customHeight="1" x14ac:dyDescent="0.4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 t="str">
        <f t="shared" si="0"/>
        <v>缺必填</v>
      </c>
    </row>
    <row r="22" spans="1:16" ht="16.05" customHeight="1" x14ac:dyDescent="0.4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 t="str">
        <f t="shared" si="0"/>
        <v>缺必填</v>
      </c>
    </row>
    <row r="23" spans="1:16" ht="16.05" customHeight="1" x14ac:dyDescent="0.4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 t="str">
        <f t="shared" si="0"/>
        <v>缺必填</v>
      </c>
    </row>
    <row r="24" spans="1:16" ht="16.05" customHeight="1" x14ac:dyDescent="0.4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 t="str">
        <f t="shared" si="0"/>
        <v>缺必填</v>
      </c>
    </row>
    <row r="25" spans="1:16" ht="16.05" customHeight="1" x14ac:dyDescent="0.4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 t="str">
        <f t="shared" si="0"/>
        <v>缺必填</v>
      </c>
    </row>
    <row r="26" spans="1:16" ht="16.05" customHeight="1" x14ac:dyDescent="0.4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 t="str">
        <f t="shared" si="0"/>
        <v>缺必填</v>
      </c>
    </row>
    <row r="27" spans="1:16" ht="16.05" customHeight="1" x14ac:dyDescent="0.4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 t="str">
        <f t="shared" si="0"/>
        <v>缺必填</v>
      </c>
    </row>
    <row r="28" spans="1:16" ht="16.05" customHeight="1" x14ac:dyDescent="0.4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 t="str">
        <f t="shared" si="0"/>
        <v>缺必填</v>
      </c>
    </row>
    <row r="29" spans="1:16" ht="16.05" customHeight="1" x14ac:dyDescent="0.4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 t="str">
        <f t="shared" si="0"/>
        <v>缺必填</v>
      </c>
    </row>
    <row r="30" spans="1:16" ht="16.05" customHeight="1" x14ac:dyDescent="0.4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 t="str">
        <f t="shared" si="0"/>
        <v>缺必填</v>
      </c>
    </row>
    <row r="31" spans="1:16" ht="16.05" customHeight="1" x14ac:dyDescent="0.4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 t="str">
        <f t="shared" si="0"/>
        <v>缺必填</v>
      </c>
    </row>
    <row r="32" spans="1:16" ht="16.05" customHeight="1" x14ac:dyDescent="0.4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 t="str">
        <f t="shared" si="0"/>
        <v>缺必填</v>
      </c>
    </row>
    <row r="33" spans="1:16" ht="16.05" customHeight="1" x14ac:dyDescent="0.4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 t="str">
        <f t="shared" si="0"/>
        <v>缺必填</v>
      </c>
    </row>
    <row r="34" spans="1:16" ht="16.05" customHeight="1" x14ac:dyDescent="0.4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 t="str">
        <f t="shared" si="0"/>
        <v>缺必填</v>
      </c>
    </row>
    <row r="35" spans="1:16" ht="16.05" customHeight="1" x14ac:dyDescent="0.4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 t="str">
        <f t="shared" si="0"/>
        <v>缺必填</v>
      </c>
    </row>
    <row r="36" spans="1:16" ht="16.05" customHeight="1" x14ac:dyDescent="0.4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 t="str">
        <f t="shared" si="0"/>
        <v>缺必填</v>
      </c>
    </row>
    <row r="37" spans="1:16" ht="16.05" customHeight="1" x14ac:dyDescent="0.4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 t="str">
        <f t="shared" si="0"/>
        <v>缺必填</v>
      </c>
    </row>
    <row r="38" spans="1:16" ht="16.05" customHeight="1" x14ac:dyDescent="0.4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 t="str">
        <f t="shared" ref="P38:P69" si="1">IF((--(C38&lt;&gt;""))=1,"OK","缺必填")</f>
        <v>缺必填</v>
      </c>
    </row>
    <row r="39" spans="1:16" ht="16.05" customHeight="1" x14ac:dyDescent="0.4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 t="str">
        <f t="shared" si="1"/>
        <v>缺必填</v>
      </c>
    </row>
    <row r="40" spans="1:16" ht="16.05" customHeight="1" x14ac:dyDescent="0.4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 t="str">
        <f t="shared" si="1"/>
        <v>缺必填</v>
      </c>
    </row>
    <row r="41" spans="1:16" ht="16.05" customHeight="1" x14ac:dyDescent="0.4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 t="str">
        <f t="shared" si="1"/>
        <v>缺必填</v>
      </c>
    </row>
    <row r="42" spans="1:16" ht="16.05" customHeight="1" x14ac:dyDescent="0.4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 t="str">
        <f t="shared" si="1"/>
        <v>缺必填</v>
      </c>
    </row>
    <row r="43" spans="1:16" ht="16.05" customHeight="1" x14ac:dyDescent="0.4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 t="str">
        <f t="shared" si="1"/>
        <v>缺必填</v>
      </c>
    </row>
    <row r="44" spans="1:16" ht="16.05" customHeight="1" x14ac:dyDescent="0.4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 t="str">
        <f t="shared" si="1"/>
        <v>缺必填</v>
      </c>
    </row>
    <row r="45" spans="1:16" ht="16.05" customHeight="1" x14ac:dyDescent="0.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 t="str">
        <f t="shared" si="1"/>
        <v>缺必填</v>
      </c>
    </row>
    <row r="46" spans="1:16" ht="16.05" customHeight="1" x14ac:dyDescent="0.4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 t="str">
        <f t="shared" si="1"/>
        <v>缺必填</v>
      </c>
    </row>
    <row r="47" spans="1:16" ht="16.05" customHeight="1" x14ac:dyDescent="0.4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 t="str">
        <f t="shared" si="1"/>
        <v>缺必填</v>
      </c>
    </row>
    <row r="48" spans="1:16" ht="16.05" customHeight="1" x14ac:dyDescent="0.4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 t="str">
        <f t="shared" si="1"/>
        <v>缺必填</v>
      </c>
    </row>
    <row r="49" spans="1:16" ht="16.05" customHeight="1" x14ac:dyDescent="0.4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 t="str">
        <f t="shared" si="1"/>
        <v>缺必填</v>
      </c>
    </row>
    <row r="50" spans="1:16" ht="16.05" customHeight="1" x14ac:dyDescent="0.4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 t="str">
        <f t="shared" si="1"/>
        <v>缺必填</v>
      </c>
    </row>
    <row r="51" spans="1:16" ht="16.05" customHeight="1" x14ac:dyDescent="0.4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 t="str">
        <f t="shared" si="1"/>
        <v>缺必填</v>
      </c>
    </row>
    <row r="52" spans="1:16" ht="16.05" customHeight="1" x14ac:dyDescent="0.4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 t="str">
        <f t="shared" si="1"/>
        <v>缺必填</v>
      </c>
    </row>
    <row r="53" spans="1:16" ht="16.05" customHeight="1" x14ac:dyDescent="0.4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 t="str">
        <f t="shared" si="1"/>
        <v>缺必填</v>
      </c>
    </row>
    <row r="54" spans="1:16" ht="16.05" customHeight="1" x14ac:dyDescent="0.4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 t="str">
        <f t="shared" si="1"/>
        <v>缺必填</v>
      </c>
    </row>
    <row r="55" spans="1:16" ht="16.05" customHeight="1" x14ac:dyDescent="0.4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 t="str">
        <f t="shared" si="1"/>
        <v>缺必填</v>
      </c>
    </row>
    <row r="56" spans="1:16" ht="16.05" customHeight="1" x14ac:dyDescent="0.4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 t="str">
        <f t="shared" si="1"/>
        <v>缺必填</v>
      </c>
    </row>
    <row r="57" spans="1:16" ht="16.05" customHeight="1" x14ac:dyDescent="0.4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 t="str">
        <f t="shared" si="1"/>
        <v>缺必填</v>
      </c>
    </row>
    <row r="58" spans="1:16" ht="16.05" customHeight="1" x14ac:dyDescent="0.4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 t="str">
        <f t="shared" si="1"/>
        <v>缺必填</v>
      </c>
    </row>
    <row r="59" spans="1:16" ht="16.05" customHeight="1" x14ac:dyDescent="0.4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 t="str">
        <f t="shared" si="1"/>
        <v>缺必填</v>
      </c>
    </row>
    <row r="60" spans="1:16" ht="16.05" customHeight="1" x14ac:dyDescent="0.4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 t="str">
        <f t="shared" si="1"/>
        <v>缺必填</v>
      </c>
    </row>
    <row r="61" spans="1:16" ht="16.05" customHeight="1" x14ac:dyDescent="0.4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 t="str">
        <f t="shared" si="1"/>
        <v>缺必填</v>
      </c>
    </row>
    <row r="62" spans="1:16" ht="16.05" customHeight="1" x14ac:dyDescent="0.4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 t="str">
        <f t="shared" si="1"/>
        <v>缺必填</v>
      </c>
    </row>
    <row r="63" spans="1:16" ht="16.05" customHeight="1" x14ac:dyDescent="0.4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 t="str">
        <f t="shared" si="1"/>
        <v>缺必填</v>
      </c>
    </row>
    <row r="64" spans="1:16" ht="16.05" customHeight="1" x14ac:dyDescent="0.4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 t="str">
        <f t="shared" si="1"/>
        <v>缺必填</v>
      </c>
    </row>
    <row r="65" spans="1:16" ht="16.05" customHeight="1" x14ac:dyDescent="0.4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 t="str">
        <f t="shared" si="1"/>
        <v>缺必填</v>
      </c>
    </row>
    <row r="66" spans="1:16" ht="16.05" customHeight="1" x14ac:dyDescent="0.4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 t="str">
        <f t="shared" si="1"/>
        <v>缺必填</v>
      </c>
    </row>
    <row r="67" spans="1:16" ht="16.05" customHeight="1" x14ac:dyDescent="0.4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 t="str">
        <f t="shared" si="1"/>
        <v>缺必填</v>
      </c>
    </row>
    <row r="68" spans="1:16" ht="16.05" customHeight="1" x14ac:dyDescent="0.4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 t="str">
        <f t="shared" si="1"/>
        <v>缺必填</v>
      </c>
    </row>
    <row r="69" spans="1:16" ht="16.05" customHeight="1" x14ac:dyDescent="0.4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 t="str">
        <f t="shared" si="1"/>
        <v>缺必填</v>
      </c>
    </row>
    <row r="70" spans="1:16" ht="16.05" customHeight="1" x14ac:dyDescent="0.4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 t="str">
        <f t="shared" ref="P70:P101" si="2">IF((--(C70&lt;&gt;""))=1,"OK","缺必填")</f>
        <v>缺必填</v>
      </c>
    </row>
    <row r="71" spans="1:16" ht="16.05" customHeight="1" x14ac:dyDescent="0.4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 t="str">
        <f t="shared" si="2"/>
        <v>缺必填</v>
      </c>
    </row>
    <row r="72" spans="1:16" ht="16.05" customHeight="1" x14ac:dyDescent="0.4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 t="str">
        <f t="shared" si="2"/>
        <v>缺必填</v>
      </c>
    </row>
    <row r="73" spans="1:16" ht="16.05" customHeight="1" x14ac:dyDescent="0.4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 t="str">
        <f t="shared" si="2"/>
        <v>缺必填</v>
      </c>
    </row>
    <row r="74" spans="1:16" ht="16.05" customHeight="1" x14ac:dyDescent="0.4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 t="str">
        <f t="shared" si="2"/>
        <v>缺必填</v>
      </c>
    </row>
    <row r="75" spans="1:16" ht="16.05" customHeight="1" x14ac:dyDescent="0.4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 t="str">
        <f t="shared" si="2"/>
        <v>缺必填</v>
      </c>
    </row>
    <row r="76" spans="1:16" ht="16.05" customHeight="1" x14ac:dyDescent="0.4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 t="str">
        <f t="shared" si="2"/>
        <v>缺必填</v>
      </c>
    </row>
    <row r="77" spans="1:16" ht="16.05" customHeight="1" x14ac:dyDescent="0.4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 t="str">
        <f t="shared" si="2"/>
        <v>缺必填</v>
      </c>
    </row>
    <row r="78" spans="1:16" ht="16.05" customHeight="1" x14ac:dyDescent="0.4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 t="str">
        <f t="shared" si="2"/>
        <v>缺必填</v>
      </c>
    </row>
    <row r="79" spans="1:16" ht="16.05" customHeight="1" x14ac:dyDescent="0.4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 t="str">
        <f t="shared" si="2"/>
        <v>缺必填</v>
      </c>
    </row>
    <row r="80" spans="1:16" ht="16.05" customHeight="1" x14ac:dyDescent="0.4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 t="str">
        <f t="shared" si="2"/>
        <v>缺必填</v>
      </c>
    </row>
    <row r="81" spans="1:16" ht="16.05" customHeight="1" x14ac:dyDescent="0.4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 t="str">
        <f t="shared" si="2"/>
        <v>缺必填</v>
      </c>
    </row>
    <row r="82" spans="1:16" ht="16.05" customHeight="1" x14ac:dyDescent="0.4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 t="str">
        <f t="shared" si="2"/>
        <v>缺必填</v>
      </c>
    </row>
    <row r="83" spans="1:16" ht="16.05" customHeight="1" x14ac:dyDescent="0.4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 t="str">
        <f t="shared" si="2"/>
        <v>缺必填</v>
      </c>
    </row>
    <row r="84" spans="1:16" ht="16.05" customHeight="1" x14ac:dyDescent="0.4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 t="str">
        <f t="shared" si="2"/>
        <v>缺必填</v>
      </c>
    </row>
    <row r="85" spans="1:16" ht="16.05" customHeight="1" x14ac:dyDescent="0.4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 t="str">
        <f t="shared" si="2"/>
        <v>缺必填</v>
      </c>
    </row>
    <row r="86" spans="1:16" ht="16.05" customHeight="1" x14ac:dyDescent="0.4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 t="str">
        <f t="shared" si="2"/>
        <v>缺必填</v>
      </c>
    </row>
    <row r="87" spans="1:16" ht="16.05" customHeight="1" x14ac:dyDescent="0.4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 t="str">
        <f t="shared" si="2"/>
        <v>缺必填</v>
      </c>
    </row>
    <row r="88" spans="1:16" ht="16.05" customHeight="1" x14ac:dyDescent="0.4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 t="str">
        <f t="shared" si="2"/>
        <v>缺必填</v>
      </c>
    </row>
    <row r="89" spans="1:16" ht="16.05" customHeight="1" x14ac:dyDescent="0.4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 t="str">
        <f t="shared" si="2"/>
        <v>缺必填</v>
      </c>
    </row>
    <row r="90" spans="1:16" ht="16.05" customHeight="1" x14ac:dyDescent="0.4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 t="str">
        <f t="shared" si="2"/>
        <v>缺必填</v>
      </c>
    </row>
    <row r="91" spans="1:16" ht="16.05" customHeight="1" x14ac:dyDescent="0.4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 t="str">
        <f t="shared" si="2"/>
        <v>缺必填</v>
      </c>
    </row>
    <row r="92" spans="1:16" ht="16.05" customHeight="1" x14ac:dyDescent="0.4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 t="str">
        <f t="shared" si="2"/>
        <v>缺必填</v>
      </c>
    </row>
    <row r="93" spans="1:16" ht="16.05" customHeight="1" x14ac:dyDescent="0.4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 t="str">
        <f t="shared" si="2"/>
        <v>缺必填</v>
      </c>
    </row>
    <row r="94" spans="1:16" ht="16.05" customHeight="1" x14ac:dyDescent="0.4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 t="str">
        <f t="shared" si="2"/>
        <v>缺必填</v>
      </c>
    </row>
    <row r="95" spans="1:16" ht="16.05" customHeight="1" x14ac:dyDescent="0.4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 t="str">
        <f t="shared" si="2"/>
        <v>缺必填</v>
      </c>
    </row>
    <row r="96" spans="1:16" ht="16.05" customHeight="1" x14ac:dyDescent="0.4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 t="str">
        <f t="shared" si="2"/>
        <v>缺必填</v>
      </c>
    </row>
    <row r="97" spans="1:16" ht="16.05" customHeight="1" x14ac:dyDescent="0.4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 t="str">
        <f t="shared" si="2"/>
        <v>缺必填</v>
      </c>
    </row>
    <row r="98" spans="1:16" ht="16.05" customHeight="1" x14ac:dyDescent="0.4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 t="str">
        <f t="shared" si="2"/>
        <v>缺必填</v>
      </c>
    </row>
    <row r="99" spans="1:16" ht="16.05" customHeight="1" x14ac:dyDescent="0.4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 t="str">
        <f t="shared" si="2"/>
        <v>缺必填</v>
      </c>
    </row>
    <row r="100" spans="1:16" ht="16.05" customHeight="1" x14ac:dyDescent="0.4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 t="str">
        <f t="shared" si="2"/>
        <v>缺必填</v>
      </c>
    </row>
    <row r="101" spans="1:16" ht="16.05" customHeight="1" x14ac:dyDescent="0.4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 t="str">
        <f t="shared" si="2"/>
        <v>缺必填</v>
      </c>
    </row>
    <row r="102" spans="1:16" ht="16.05" customHeight="1" x14ac:dyDescent="0.4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 t="str">
        <f t="shared" ref="P102:P133" si="3">IF((--(C102&lt;&gt;""))=1,"OK","缺必填")</f>
        <v>缺必填</v>
      </c>
    </row>
    <row r="103" spans="1:16" ht="16.05" customHeight="1" x14ac:dyDescent="0.4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 t="str">
        <f t="shared" si="3"/>
        <v>缺必填</v>
      </c>
    </row>
    <row r="104" spans="1:16" ht="16.05" customHeight="1" x14ac:dyDescent="0.4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 t="str">
        <f t="shared" si="3"/>
        <v>缺必填</v>
      </c>
    </row>
    <row r="105" spans="1:16" ht="16.05" customHeight="1" x14ac:dyDescent="0.4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 t="str">
        <f t="shared" si="3"/>
        <v>缺必填</v>
      </c>
    </row>
    <row r="106" spans="1:16" ht="16.05" customHeight="1" x14ac:dyDescent="0.4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 t="str">
        <f t="shared" si="3"/>
        <v>缺必填</v>
      </c>
    </row>
    <row r="107" spans="1:16" ht="16.05" customHeight="1" x14ac:dyDescent="0.4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 t="str">
        <f t="shared" si="3"/>
        <v>缺必填</v>
      </c>
    </row>
    <row r="108" spans="1:16" ht="16.05" customHeight="1" x14ac:dyDescent="0.4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 t="str">
        <f t="shared" si="3"/>
        <v>缺必填</v>
      </c>
    </row>
    <row r="109" spans="1:16" ht="16.05" customHeight="1" x14ac:dyDescent="0.4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 t="str">
        <f t="shared" si="3"/>
        <v>缺必填</v>
      </c>
    </row>
    <row r="110" spans="1:16" ht="16.05" customHeight="1" x14ac:dyDescent="0.4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 t="str">
        <f t="shared" si="3"/>
        <v>缺必填</v>
      </c>
    </row>
    <row r="111" spans="1:16" ht="16.05" customHeight="1" x14ac:dyDescent="0.4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 t="str">
        <f t="shared" si="3"/>
        <v>缺必填</v>
      </c>
    </row>
    <row r="112" spans="1:16" ht="16.05" customHeight="1" x14ac:dyDescent="0.4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 t="str">
        <f t="shared" si="3"/>
        <v>缺必填</v>
      </c>
    </row>
    <row r="113" spans="1:16" ht="16.05" customHeight="1" x14ac:dyDescent="0.4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 t="str">
        <f t="shared" si="3"/>
        <v>缺必填</v>
      </c>
    </row>
    <row r="114" spans="1:16" ht="16.05" customHeight="1" x14ac:dyDescent="0.4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 t="str">
        <f t="shared" si="3"/>
        <v>缺必填</v>
      </c>
    </row>
    <row r="115" spans="1:16" ht="16.05" customHeight="1" x14ac:dyDescent="0.4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 t="str">
        <f t="shared" si="3"/>
        <v>缺必填</v>
      </c>
    </row>
    <row r="116" spans="1:16" ht="16.05" customHeight="1" x14ac:dyDescent="0.4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 t="str">
        <f t="shared" si="3"/>
        <v>缺必填</v>
      </c>
    </row>
    <row r="117" spans="1:16" ht="16.05" customHeight="1" x14ac:dyDescent="0.4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 t="str">
        <f t="shared" si="3"/>
        <v>缺必填</v>
      </c>
    </row>
    <row r="118" spans="1:16" ht="16.05" customHeight="1" x14ac:dyDescent="0.4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 t="str">
        <f t="shared" si="3"/>
        <v>缺必填</v>
      </c>
    </row>
    <row r="119" spans="1:16" ht="16.05" customHeight="1" x14ac:dyDescent="0.4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 t="str">
        <f t="shared" si="3"/>
        <v>缺必填</v>
      </c>
    </row>
    <row r="120" spans="1:16" ht="16.05" customHeight="1" x14ac:dyDescent="0.4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 t="str">
        <f t="shared" si="3"/>
        <v>缺必填</v>
      </c>
    </row>
    <row r="121" spans="1:16" ht="16.05" customHeight="1" x14ac:dyDescent="0.4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 t="str">
        <f t="shared" si="3"/>
        <v>缺必填</v>
      </c>
    </row>
    <row r="122" spans="1:16" ht="16.05" customHeight="1" x14ac:dyDescent="0.4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 t="str">
        <f t="shared" si="3"/>
        <v>缺必填</v>
      </c>
    </row>
    <row r="123" spans="1:16" ht="16.05" customHeight="1" x14ac:dyDescent="0.4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 t="str">
        <f t="shared" si="3"/>
        <v>缺必填</v>
      </c>
    </row>
    <row r="124" spans="1:16" ht="16.05" customHeight="1" x14ac:dyDescent="0.4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 t="str">
        <f t="shared" si="3"/>
        <v>缺必填</v>
      </c>
    </row>
    <row r="125" spans="1:16" ht="16.05" customHeight="1" x14ac:dyDescent="0.4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 t="str">
        <f t="shared" si="3"/>
        <v>缺必填</v>
      </c>
    </row>
    <row r="126" spans="1:16" ht="16.05" customHeight="1" x14ac:dyDescent="0.4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 t="str">
        <f t="shared" si="3"/>
        <v>缺必填</v>
      </c>
    </row>
    <row r="127" spans="1:16" ht="16.05" customHeight="1" x14ac:dyDescent="0.4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 t="str">
        <f t="shared" si="3"/>
        <v>缺必填</v>
      </c>
    </row>
    <row r="128" spans="1:16" ht="16.05" customHeight="1" x14ac:dyDescent="0.4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 t="str">
        <f t="shared" si="3"/>
        <v>缺必填</v>
      </c>
    </row>
    <row r="129" spans="1:16" ht="16.05" customHeight="1" x14ac:dyDescent="0.4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 t="str">
        <f t="shared" si="3"/>
        <v>缺必填</v>
      </c>
    </row>
    <row r="130" spans="1:16" ht="16.05" customHeight="1" x14ac:dyDescent="0.4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 t="str">
        <f t="shared" si="3"/>
        <v>缺必填</v>
      </c>
    </row>
    <row r="131" spans="1:16" ht="16.05" customHeight="1" x14ac:dyDescent="0.4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 t="str">
        <f t="shared" si="3"/>
        <v>缺必填</v>
      </c>
    </row>
    <row r="132" spans="1:16" ht="16.05" customHeight="1" x14ac:dyDescent="0.4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 t="str">
        <f t="shared" si="3"/>
        <v>缺必填</v>
      </c>
    </row>
    <row r="133" spans="1:16" ht="16.05" customHeight="1" x14ac:dyDescent="0.4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 t="str">
        <f t="shared" si="3"/>
        <v>缺必填</v>
      </c>
    </row>
    <row r="134" spans="1:16" ht="16.05" customHeight="1" x14ac:dyDescent="0.4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 t="str">
        <f t="shared" ref="P134:P165" si="4">IF((--(C134&lt;&gt;""))=1,"OK","缺必填")</f>
        <v>缺必填</v>
      </c>
    </row>
    <row r="135" spans="1:16" ht="16.05" customHeight="1" x14ac:dyDescent="0.4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 t="str">
        <f t="shared" si="4"/>
        <v>缺必填</v>
      </c>
    </row>
    <row r="136" spans="1:16" ht="16.05" customHeight="1" x14ac:dyDescent="0.4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 t="str">
        <f t="shared" si="4"/>
        <v>缺必填</v>
      </c>
    </row>
    <row r="137" spans="1:16" ht="16.05" customHeight="1" x14ac:dyDescent="0.4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 t="str">
        <f t="shared" si="4"/>
        <v>缺必填</v>
      </c>
    </row>
    <row r="138" spans="1:16" ht="16.05" customHeight="1" x14ac:dyDescent="0.4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 t="str">
        <f t="shared" si="4"/>
        <v>缺必填</v>
      </c>
    </row>
    <row r="139" spans="1:16" ht="16.05" customHeight="1" x14ac:dyDescent="0.4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 t="str">
        <f t="shared" si="4"/>
        <v>缺必填</v>
      </c>
    </row>
    <row r="140" spans="1:16" ht="16.05" customHeight="1" x14ac:dyDescent="0.4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 t="str">
        <f t="shared" si="4"/>
        <v>缺必填</v>
      </c>
    </row>
    <row r="141" spans="1:16" ht="16.05" customHeight="1" x14ac:dyDescent="0.4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 t="str">
        <f t="shared" si="4"/>
        <v>缺必填</v>
      </c>
    </row>
    <row r="142" spans="1:16" ht="16.05" customHeight="1" x14ac:dyDescent="0.4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 t="str">
        <f t="shared" si="4"/>
        <v>缺必填</v>
      </c>
    </row>
    <row r="143" spans="1:16" ht="16.05" customHeight="1" x14ac:dyDescent="0.4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 t="str">
        <f t="shared" si="4"/>
        <v>缺必填</v>
      </c>
    </row>
    <row r="144" spans="1:16" ht="16.05" customHeight="1" x14ac:dyDescent="0.4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 t="str">
        <f t="shared" si="4"/>
        <v>缺必填</v>
      </c>
    </row>
    <row r="145" spans="1:16" ht="16.05" customHeight="1" x14ac:dyDescent="0.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 t="str">
        <f t="shared" si="4"/>
        <v>缺必填</v>
      </c>
    </row>
    <row r="146" spans="1:16" ht="16.05" customHeight="1" x14ac:dyDescent="0.4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 t="str">
        <f t="shared" si="4"/>
        <v>缺必填</v>
      </c>
    </row>
    <row r="147" spans="1:16" ht="16.05" customHeight="1" x14ac:dyDescent="0.4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 t="str">
        <f t="shared" si="4"/>
        <v>缺必填</v>
      </c>
    </row>
    <row r="148" spans="1:16" ht="16.05" customHeight="1" x14ac:dyDescent="0.4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 t="str">
        <f t="shared" si="4"/>
        <v>缺必填</v>
      </c>
    </row>
    <row r="149" spans="1:16" ht="16.05" customHeight="1" x14ac:dyDescent="0.4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 t="str">
        <f t="shared" si="4"/>
        <v>缺必填</v>
      </c>
    </row>
    <row r="150" spans="1:16" ht="16.05" customHeight="1" x14ac:dyDescent="0.4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 t="str">
        <f t="shared" si="4"/>
        <v>缺必填</v>
      </c>
    </row>
    <row r="151" spans="1:16" ht="16.05" customHeight="1" x14ac:dyDescent="0.4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 t="str">
        <f t="shared" si="4"/>
        <v>缺必填</v>
      </c>
    </row>
    <row r="152" spans="1:16" ht="16.05" customHeight="1" x14ac:dyDescent="0.4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 t="str">
        <f t="shared" si="4"/>
        <v>缺必填</v>
      </c>
    </row>
    <row r="153" spans="1:16" ht="16.05" customHeight="1" x14ac:dyDescent="0.4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 t="str">
        <f t="shared" si="4"/>
        <v>缺必填</v>
      </c>
    </row>
    <row r="154" spans="1:16" ht="16.05" customHeight="1" x14ac:dyDescent="0.4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 t="str">
        <f t="shared" si="4"/>
        <v>缺必填</v>
      </c>
    </row>
    <row r="155" spans="1:16" ht="16.05" customHeight="1" x14ac:dyDescent="0.4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 t="str">
        <f t="shared" si="4"/>
        <v>缺必填</v>
      </c>
    </row>
    <row r="156" spans="1:16" ht="16.05" customHeight="1" x14ac:dyDescent="0.4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 t="str">
        <f t="shared" si="4"/>
        <v>缺必填</v>
      </c>
    </row>
    <row r="157" spans="1:16" ht="16.05" customHeight="1" x14ac:dyDescent="0.4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 t="str">
        <f t="shared" si="4"/>
        <v>缺必填</v>
      </c>
    </row>
    <row r="158" spans="1:16" ht="16.05" customHeight="1" x14ac:dyDescent="0.4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 t="str">
        <f t="shared" si="4"/>
        <v>缺必填</v>
      </c>
    </row>
    <row r="159" spans="1:16" ht="16.05" customHeight="1" x14ac:dyDescent="0.4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 t="str">
        <f t="shared" si="4"/>
        <v>缺必填</v>
      </c>
    </row>
    <row r="160" spans="1:16" ht="16.05" customHeight="1" x14ac:dyDescent="0.4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 t="str">
        <f t="shared" si="4"/>
        <v>缺必填</v>
      </c>
    </row>
    <row r="161" spans="1:16" ht="16.05" customHeight="1" x14ac:dyDescent="0.4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 t="str">
        <f t="shared" si="4"/>
        <v>缺必填</v>
      </c>
    </row>
    <row r="162" spans="1:16" ht="16.05" customHeight="1" x14ac:dyDescent="0.4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 t="str">
        <f t="shared" si="4"/>
        <v>缺必填</v>
      </c>
    </row>
    <row r="163" spans="1:16" ht="16.05" customHeight="1" x14ac:dyDescent="0.4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 t="str">
        <f t="shared" si="4"/>
        <v>缺必填</v>
      </c>
    </row>
    <row r="164" spans="1:16" ht="16.05" customHeight="1" x14ac:dyDescent="0.4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 t="str">
        <f t="shared" si="4"/>
        <v>缺必填</v>
      </c>
    </row>
    <row r="165" spans="1:16" ht="16.05" customHeight="1" x14ac:dyDescent="0.4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 t="str">
        <f t="shared" si="4"/>
        <v>缺必填</v>
      </c>
    </row>
    <row r="166" spans="1:16" ht="16.05" customHeight="1" x14ac:dyDescent="0.4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 t="str">
        <f t="shared" ref="P166:P197" si="5">IF((--(C166&lt;&gt;""))=1,"OK","缺必填")</f>
        <v>缺必填</v>
      </c>
    </row>
    <row r="167" spans="1:16" ht="16.05" customHeight="1" x14ac:dyDescent="0.4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 t="str">
        <f t="shared" si="5"/>
        <v>缺必填</v>
      </c>
    </row>
    <row r="168" spans="1:16" ht="16.05" customHeight="1" x14ac:dyDescent="0.4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 t="str">
        <f t="shared" si="5"/>
        <v>缺必填</v>
      </c>
    </row>
    <row r="169" spans="1:16" ht="16.05" customHeight="1" x14ac:dyDescent="0.4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 t="str">
        <f t="shared" si="5"/>
        <v>缺必填</v>
      </c>
    </row>
    <row r="170" spans="1:16" ht="16.05" customHeight="1" x14ac:dyDescent="0.4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 t="str">
        <f t="shared" si="5"/>
        <v>缺必填</v>
      </c>
    </row>
    <row r="171" spans="1:16" ht="16.05" customHeight="1" x14ac:dyDescent="0.4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 t="str">
        <f t="shared" si="5"/>
        <v>缺必填</v>
      </c>
    </row>
    <row r="172" spans="1:16" ht="16.05" customHeight="1" x14ac:dyDescent="0.4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 t="str">
        <f t="shared" si="5"/>
        <v>缺必填</v>
      </c>
    </row>
    <row r="173" spans="1:16" ht="16.05" customHeight="1" x14ac:dyDescent="0.4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 t="str">
        <f t="shared" si="5"/>
        <v>缺必填</v>
      </c>
    </row>
    <row r="174" spans="1:16" ht="16.05" customHeight="1" x14ac:dyDescent="0.4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 t="str">
        <f t="shared" si="5"/>
        <v>缺必填</v>
      </c>
    </row>
    <row r="175" spans="1:16" ht="16.05" customHeight="1" x14ac:dyDescent="0.4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 t="str">
        <f t="shared" si="5"/>
        <v>缺必填</v>
      </c>
    </row>
    <row r="176" spans="1:16" ht="16.05" customHeight="1" x14ac:dyDescent="0.4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 t="str">
        <f t="shared" si="5"/>
        <v>缺必填</v>
      </c>
    </row>
    <row r="177" spans="1:16" ht="16.05" customHeight="1" x14ac:dyDescent="0.4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 t="str">
        <f t="shared" si="5"/>
        <v>缺必填</v>
      </c>
    </row>
    <row r="178" spans="1:16" ht="16.05" customHeight="1" x14ac:dyDescent="0.4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 t="str">
        <f t="shared" si="5"/>
        <v>缺必填</v>
      </c>
    </row>
    <row r="179" spans="1:16" ht="16.05" customHeight="1" x14ac:dyDescent="0.4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 t="str">
        <f t="shared" si="5"/>
        <v>缺必填</v>
      </c>
    </row>
    <row r="180" spans="1:16" ht="16.05" customHeight="1" x14ac:dyDescent="0.4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 t="str">
        <f t="shared" si="5"/>
        <v>缺必填</v>
      </c>
    </row>
    <row r="181" spans="1:16" ht="16.05" customHeight="1" x14ac:dyDescent="0.4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 t="str">
        <f t="shared" si="5"/>
        <v>缺必填</v>
      </c>
    </row>
    <row r="182" spans="1:16" ht="16.05" customHeight="1" x14ac:dyDescent="0.4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 t="str">
        <f t="shared" si="5"/>
        <v>缺必填</v>
      </c>
    </row>
    <row r="183" spans="1:16" ht="16.05" customHeight="1" x14ac:dyDescent="0.4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 t="str">
        <f t="shared" si="5"/>
        <v>缺必填</v>
      </c>
    </row>
    <row r="184" spans="1:16" ht="16.05" customHeight="1" x14ac:dyDescent="0.4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 t="str">
        <f t="shared" si="5"/>
        <v>缺必填</v>
      </c>
    </row>
    <row r="185" spans="1:16" ht="16.05" customHeight="1" x14ac:dyDescent="0.4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 t="str">
        <f t="shared" si="5"/>
        <v>缺必填</v>
      </c>
    </row>
    <row r="186" spans="1:16" ht="16.05" customHeight="1" x14ac:dyDescent="0.4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 t="str">
        <f t="shared" si="5"/>
        <v>缺必填</v>
      </c>
    </row>
    <row r="187" spans="1:16" ht="16.05" customHeight="1" x14ac:dyDescent="0.4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 t="str">
        <f t="shared" si="5"/>
        <v>缺必填</v>
      </c>
    </row>
    <row r="188" spans="1:16" ht="16.05" customHeight="1" x14ac:dyDescent="0.4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 t="str">
        <f t="shared" si="5"/>
        <v>缺必填</v>
      </c>
    </row>
    <row r="189" spans="1:16" ht="16.05" customHeight="1" x14ac:dyDescent="0.4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 t="str">
        <f t="shared" si="5"/>
        <v>缺必填</v>
      </c>
    </row>
    <row r="190" spans="1:16" ht="16.05" customHeight="1" x14ac:dyDescent="0.4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 t="str">
        <f t="shared" si="5"/>
        <v>缺必填</v>
      </c>
    </row>
    <row r="191" spans="1:16" ht="16.05" customHeight="1" x14ac:dyDescent="0.4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 t="str">
        <f t="shared" si="5"/>
        <v>缺必填</v>
      </c>
    </row>
    <row r="192" spans="1:16" ht="16.05" customHeight="1" x14ac:dyDescent="0.4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 t="str">
        <f t="shared" si="5"/>
        <v>缺必填</v>
      </c>
    </row>
    <row r="193" spans="1:16" ht="16.05" customHeight="1" x14ac:dyDescent="0.4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 t="str">
        <f t="shared" si="5"/>
        <v>缺必填</v>
      </c>
    </row>
    <row r="194" spans="1:16" ht="16.05" customHeight="1" x14ac:dyDescent="0.4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 t="str">
        <f t="shared" si="5"/>
        <v>缺必填</v>
      </c>
    </row>
    <row r="195" spans="1:16" ht="16.05" customHeight="1" x14ac:dyDescent="0.4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 t="str">
        <f t="shared" si="5"/>
        <v>缺必填</v>
      </c>
    </row>
    <row r="196" spans="1:16" ht="16.05" customHeight="1" x14ac:dyDescent="0.4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 t="str">
        <f t="shared" si="5"/>
        <v>缺必填</v>
      </c>
    </row>
    <row r="197" spans="1:16" ht="16.05" customHeight="1" x14ac:dyDescent="0.4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 t="str">
        <f t="shared" si="5"/>
        <v>缺必填</v>
      </c>
    </row>
    <row r="198" spans="1:16" ht="16.05" customHeight="1" x14ac:dyDescent="0.4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 t="str">
        <f t="shared" ref="P198:P205" si="6">IF((--(C198&lt;&gt;""))=1,"OK","缺必填")</f>
        <v>缺必填</v>
      </c>
    </row>
    <row r="199" spans="1:16" ht="16.05" customHeight="1" x14ac:dyDescent="0.4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 t="str">
        <f t="shared" si="6"/>
        <v>缺必填</v>
      </c>
    </row>
    <row r="200" spans="1:16" ht="16.05" customHeight="1" x14ac:dyDescent="0.4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 t="str">
        <f t="shared" si="6"/>
        <v>缺必填</v>
      </c>
    </row>
    <row r="201" spans="1:16" ht="16.05" customHeight="1" x14ac:dyDescent="0.4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 t="str">
        <f t="shared" si="6"/>
        <v>缺必填</v>
      </c>
    </row>
    <row r="202" spans="1:16" ht="16.05" customHeight="1" x14ac:dyDescent="0.4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 t="str">
        <f t="shared" si="6"/>
        <v>缺必填</v>
      </c>
    </row>
    <row r="203" spans="1:16" ht="16.05" customHeight="1" x14ac:dyDescent="0.4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 t="str">
        <f t="shared" si="6"/>
        <v>缺必填</v>
      </c>
    </row>
    <row r="204" spans="1:16" ht="16.05" customHeight="1" x14ac:dyDescent="0.4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 t="str">
        <f t="shared" si="6"/>
        <v>缺必填</v>
      </c>
    </row>
    <row r="205" spans="1:16" ht="16.05" customHeight="1" x14ac:dyDescent="0.4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 t="str">
        <f t="shared" si="6"/>
        <v>缺必填</v>
      </c>
    </row>
  </sheetData>
  <mergeCells count="2">
    <mergeCell ref="A1:P1"/>
    <mergeCell ref="A2:P2"/>
  </mergeCells>
  <phoneticPr fontId="10" type="noConversion"/>
  <conditionalFormatting sqref="P6:P205">
    <cfRule type="expression" dxfId="7" priority="1">
      <formula>$P6="缺必填"</formula>
    </cfRule>
    <cfRule type="expression" dxfId="6" priority="2">
      <formula>$P6="OK"</formula>
    </cfRule>
  </conditionalFormatting>
  <dataValidations count="3">
    <dataValidation type="list" sqref="B6:B205">
      <formula1>"Y,N"</formula1>
    </dataValidation>
    <dataValidation type="list" sqref="C6:C205">
      <formula1>"Importer,Manufacturer,Laboratory,Broker,Other"</formula1>
    </dataValidation>
    <dataValidation type="list" sqref="K6:K205">
      <formula1>"USA,China,Japan,Taiwan,Vietnam,Thailand,Malaysia,Indonesia,Philippines,Korea,India,Mexico,Canada"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5"/>
  <sheetViews>
    <sheetView workbookViewId="0"/>
  </sheetViews>
  <sheetFormatPr defaultRowHeight="14.25" x14ac:dyDescent="0.45"/>
  <cols>
    <col min="1" max="2" width="18" customWidth="1"/>
    <col min="3" max="4" width="28" customWidth="1"/>
    <col min="5" max="5" width="16" customWidth="1"/>
  </cols>
  <sheetData>
    <row r="1" spans="1:5" ht="14" customHeight="1" x14ac:dyDescent="0.45">
      <c r="A1" s="8" t="s">
        <v>291</v>
      </c>
      <c r="B1" s="9"/>
      <c r="C1" s="9"/>
      <c r="D1" s="9"/>
      <c r="E1" s="9"/>
    </row>
    <row r="2" spans="1:5" ht="16.05" customHeight="1" x14ac:dyDescent="0.45">
      <c r="A2" s="10" t="s">
        <v>292</v>
      </c>
      <c r="B2" s="9"/>
      <c r="C2" s="9"/>
      <c r="D2" s="9"/>
      <c r="E2" s="9"/>
    </row>
    <row r="3" spans="1:5" ht="14" customHeight="1" x14ac:dyDescent="0.45">
      <c r="A3" s="4" t="s">
        <v>58</v>
      </c>
      <c r="B3" s="4" t="s">
        <v>293</v>
      </c>
      <c r="C3" s="4" t="s">
        <v>294</v>
      </c>
      <c r="D3" s="4" t="s">
        <v>76</v>
      </c>
      <c r="E3" s="4" t="s">
        <v>77</v>
      </c>
    </row>
    <row r="4" spans="1:5" ht="14" customHeight="1" x14ac:dyDescent="0.45">
      <c r="A4" s="4" t="s">
        <v>82</v>
      </c>
      <c r="B4" s="4" t="s">
        <v>295</v>
      </c>
      <c r="C4" s="4" t="s">
        <v>296</v>
      </c>
      <c r="D4" s="4" t="s">
        <v>105</v>
      </c>
      <c r="E4" s="4" t="s">
        <v>106</v>
      </c>
    </row>
    <row r="5" spans="1:5" ht="18" customHeight="1" x14ac:dyDescent="0.45">
      <c r="A5" s="5" t="s">
        <v>240</v>
      </c>
      <c r="B5" s="5" t="s">
        <v>297</v>
      </c>
      <c r="C5" s="5" t="s">
        <v>298</v>
      </c>
      <c r="D5" s="5" t="s">
        <v>135</v>
      </c>
      <c r="E5" s="5" t="s">
        <v>136</v>
      </c>
    </row>
    <row r="6" spans="1:5" ht="16.05" customHeight="1" x14ac:dyDescent="0.45">
      <c r="A6" s="6" t="s">
        <v>141</v>
      </c>
      <c r="B6" s="6" t="s">
        <v>299</v>
      </c>
      <c r="C6" s="6" t="s">
        <v>300</v>
      </c>
      <c r="D6" s="6"/>
      <c r="E6" s="6" t="str">
        <f t="shared" ref="E6:E37" si="0">IF((--(A6&lt;&gt;"")+--(B6&lt;&gt;""))=2,"OK","缺必填")</f>
        <v>OK</v>
      </c>
    </row>
    <row r="7" spans="1:5" ht="16.05" customHeight="1" x14ac:dyDescent="0.45">
      <c r="A7" s="6"/>
      <c r="B7" s="6"/>
      <c r="C7" s="6"/>
      <c r="D7" s="6"/>
      <c r="E7" s="6" t="str">
        <f t="shared" si="0"/>
        <v>缺必填</v>
      </c>
    </row>
    <row r="8" spans="1:5" ht="16.05" customHeight="1" x14ac:dyDescent="0.45">
      <c r="A8" s="6"/>
      <c r="B8" s="6"/>
      <c r="C8" s="6"/>
      <c r="D8" s="6"/>
      <c r="E8" s="6" t="str">
        <f t="shared" si="0"/>
        <v>缺必填</v>
      </c>
    </row>
    <row r="9" spans="1:5" ht="16.05" customHeight="1" x14ac:dyDescent="0.45">
      <c r="A9" s="6"/>
      <c r="B9" s="6"/>
      <c r="C9" s="6"/>
      <c r="D9" s="6"/>
      <c r="E9" s="6" t="str">
        <f t="shared" si="0"/>
        <v>缺必填</v>
      </c>
    </row>
    <row r="10" spans="1:5" ht="16.05" customHeight="1" x14ac:dyDescent="0.45">
      <c r="A10" s="6"/>
      <c r="B10" s="6"/>
      <c r="C10" s="6"/>
      <c r="D10" s="6"/>
      <c r="E10" s="6" t="str">
        <f t="shared" si="0"/>
        <v>缺必填</v>
      </c>
    </row>
    <row r="11" spans="1:5" ht="16.05" customHeight="1" x14ac:dyDescent="0.45">
      <c r="A11" s="6"/>
      <c r="B11" s="6"/>
      <c r="C11" s="6"/>
      <c r="D11" s="6"/>
      <c r="E11" s="6" t="str">
        <f t="shared" si="0"/>
        <v>缺必填</v>
      </c>
    </row>
    <row r="12" spans="1:5" ht="16.05" customHeight="1" x14ac:dyDescent="0.45">
      <c r="A12" s="6"/>
      <c r="B12" s="6"/>
      <c r="C12" s="6"/>
      <c r="D12" s="6"/>
      <c r="E12" s="6" t="str">
        <f t="shared" si="0"/>
        <v>缺必填</v>
      </c>
    </row>
    <row r="13" spans="1:5" ht="16.05" customHeight="1" x14ac:dyDescent="0.45">
      <c r="A13" s="6"/>
      <c r="B13" s="6"/>
      <c r="C13" s="6"/>
      <c r="D13" s="6"/>
      <c r="E13" s="6" t="str">
        <f t="shared" si="0"/>
        <v>缺必填</v>
      </c>
    </row>
    <row r="14" spans="1:5" ht="16.05" customHeight="1" x14ac:dyDescent="0.45">
      <c r="A14" s="6"/>
      <c r="B14" s="6"/>
      <c r="C14" s="6"/>
      <c r="D14" s="6"/>
      <c r="E14" s="6" t="str">
        <f t="shared" si="0"/>
        <v>缺必填</v>
      </c>
    </row>
    <row r="15" spans="1:5" ht="16.05" customHeight="1" x14ac:dyDescent="0.45">
      <c r="A15" s="6"/>
      <c r="B15" s="6"/>
      <c r="C15" s="6"/>
      <c r="D15" s="6"/>
      <c r="E15" s="6" t="str">
        <f t="shared" si="0"/>
        <v>缺必填</v>
      </c>
    </row>
    <row r="16" spans="1:5" ht="16.05" customHeight="1" x14ac:dyDescent="0.45">
      <c r="A16" s="6"/>
      <c r="B16" s="6"/>
      <c r="C16" s="6"/>
      <c r="D16" s="6"/>
      <c r="E16" s="6" t="str">
        <f t="shared" si="0"/>
        <v>缺必填</v>
      </c>
    </row>
    <row r="17" spans="1:5" ht="16.05" customHeight="1" x14ac:dyDescent="0.45">
      <c r="A17" s="6"/>
      <c r="B17" s="6"/>
      <c r="C17" s="6"/>
      <c r="D17" s="6"/>
      <c r="E17" s="6" t="str">
        <f t="shared" si="0"/>
        <v>缺必填</v>
      </c>
    </row>
    <row r="18" spans="1:5" ht="16.05" customHeight="1" x14ac:dyDescent="0.45">
      <c r="A18" s="6"/>
      <c r="B18" s="6"/>
      <c r="C18" s="6"/>
      <c r="D18" s="6"/>
      <c r="E18" s="6" t="str">
        <f t="shared" si="0"/>
        <v>缺必填</v>
      </c>
    </row>
    <row r="19" spans="1:5" ht="16.05" customHeight="1" x14ac:dyDescent="0.45">
      <c r="A19" s="6"/>
      <c r="B19" s="6"/>
      <c r="C19" s="6"/>
      <c r="D19" s="6"/>
      <c r="E19" s="6" t="str">
        <f t="shared" si="0"/>
        <v>缺必填</v>
      </c>
    </row>
    <row r="20" spans="1:5" ht="16.05" customHeight="1" x14ac:dyDescent="0.45">
      <c r="A20" s="6"/>
      <c r="B20" s="6"/>
      <c r="C20" s="6"/>
      <c r="D20" s="6"/>
      <c r="E20" s="6" t="str">
        <f t="shared" si="0"/>
        <v>缺必填</v>
      </c>
    </row>
    <row r="21" spans="1:5" ht="16.05" customHeight="1" x14ac:dyDescent="0.45">
      <c r="A21" s="6"/>
      <c r="B21" s="6"/>
      <c r="C21" s="6"/>
      <c r="D21" s="6"/>
      <c r="E21" s="6" t="str">
        <f t="shared" si="0"/>
        <v>缺必填</v>
      </c>
    </row>
    <row r="22" spans="1:5" ht="16.05" customHeight="1" x14ac:dyDescent="0.45">
      <c r="A22" s="6"/>
      <c r="B22" s="6"/>
      <c r="C22" s="6"/>
      <c r="D22" s="6"/>
      <c r="E22" s="6" t="str">
        <f t="shared" si="0"/>
        <v>缺必填</v>
      </c>
    </row>
    <row r="23" spans="1:5" ht="16.05" customHeight="1" x14ac:dyDescent="0.45">
      <c r="A23" s="6"/>
      <c r="B23" s="6"/>
      <c r="C23" s="6"/>
      <c r="D23" s="6"/>
      <c r="E23" s="6" t="str">
        <f t="shared" si="0"/>
        <v>缺必填</v>
      </c>
    </row>
    <row r="24" spans="1:5" ht="16.05" customHeight="1" x14ac:dyDescent="0.45">
      <c r="A24" s="6"/>
      <c r="B24" s="6"/>
      <c r="C24" s="6"/>
      <c r="D24" s="6"/>
      <c r="E24" s="6" t="str">
        <f t="shared" si="0"/>
        <v>缺必填</v>
      </c>
    </row>
    <row r="25" spans="1:5" ht="16.05" customHeight="1" x14ac:dyDescent="0.45">
      <c r="A25" s="6"/>
      <c r="B25" s="6"/>
      <c r="C25" s="6"/>
      <c r="D25" s="6"/>
      <c r="E25" s="6" t="str">
        <f t="shared" si="0"/>
        <v>缺必填</v>
      </c>
    </row>
    <row r="26" spans="1:5" ht="16.05" customHeight="1" x14ac:dyDescent="0.45">
      <c r="A26" s="6"/>
      <c r="B26" s="6"/>
      <c r="C26" s="6"/>
      <c r="D26" s="6"/>
      <c r="E26" s="6" t="str">
        <f t="shared" si="0"/>
        <v>缺必填</v>
      </c>
    </row>
    <row r="27" spans="1:5" ht="16.05" customHeight="1" x14ac:dyDescent="0.45">
      <c r="A27" s="6"/>
      <c r="B27" s="6"/>
      <c r="C27" s="6"/>
      <c r="D27" s="6"/>
      <c r="E27" s="6" t="str">
        <f t="shared" si="0"/>
        <v>缺必填</v>
      </c>
    </row>
    <row r="28" spans="1:5" ht="16.05" customHeight="1" x14ac:dyDescent="0.45">
      <c r="A28" s="6"/>
      <c r="B28" s="6"/>
      <c r="C28" s="6"/>
      <c r="D28" s="6"/>
      <c r="E28" s="6" t="str">
        <f t="shared" si="0"/>
        <v>缺必填</v>
      </c>
    </row>
    <row r="29" spans="1:5" ht="16.05" customHeight="1" x14ac:dyDescent="0.45">
      <c r="A29" s="6"/>
      <c r="B29" s="6"/>
      <c r="C29" s="6"/>
      <c r="D29" s="6"/>
      <c r="E29" s="6" t="str">
        <f t="shared" si="0"/>
        <v>缺必填</v>
      </c>
    </row>
    <row r="30" spans="1:5" ht="16.05" customHeight="1" x14ac:dyDescent="0.45">
      <c r="A30" s="6"/>
      <c r="B30" s="6"/>
      <c r="C30" s="6"/>
      <c r="D30" s="6"/>
      <c r="E30" s="6" t="str">
        <f t="shared" si="0"/>
        <v>缺必填</v>
      </c>
    </row>
    <row r="31" spans="1:5" ht="16.05" customHeight="1" x14ac:dyDescent="0.45">
      <c r="A31" s="6"/>
      <c r="B31" s="6"/>
      <c r="C31" s="6"/>
      <c r="D31" s="6"/>
      <c r="E31" s="6" t="str">
        <f t="shared" si="0"/>
        <v>缺必填</v>
      </c>
    </row>
    <row r="32" spans="1:5" ht="16.05" customHeight="1" x14ac:dyDescent="0.45">
      <c r="A32" s="6"/>
      <c r="B32" s="6"/>
      <c r="C32" s="6"/>
      <c r="D32" s="6"/>
      <c r="E32" s="6" t="str">
        <f t="shared" si="0"/>
        <v>缺必填</v>
      </c>
    </row>
    <row r="33" spans="1:5" ht="16.05" customHeight="1" x14ac:dyDescent="0.45">
      <c r="A33" s="6"/>
      <c r="B33" s="6"/>
      <c r="C33" s="6"/>
      <c r="D33" s="6"/>
      <c r="E33" s="6" t="str">
        <f t="shared" si="0"/>
        <v>缺必填</v>
      </c>
    </row>
    <row r="34" spans="1:5" ht="16.05" customHeight="1" x14ac:dyDescent="0.45">
      <c r="A34" s="6"/>
      <c r="B34" s="6"/>
      <c r="C34" s="6"/>
      <c r="D34" s="6"/>
      <c r="E34" s="6" t="str">
        <f t="shared" si="0"/>
        <v>缺必填</v>
      </c>
    </row>
    <row r="35" spans="1:5" ht="16.05" customHeight="1" x14ac:dyDescent="0.45">
      <c r="A35" s="6"/>
      <c r="B35" s="6"/>
      <c r="C35" s="6"/>
      <c r="D35" s="6"/>
      <c r="E35" s="6" t="str">
        <f t="shared" si="0"/>
        <v>缺必填</v>
      </c>
    </row>
    <row r="36" spans="1:5" ht="16.05" customHeight="1" x14ac:dyDescent="0.45">
      <c r="A36" s="6"/>
      <c r="B36" s="6"/>
      <c r="C36" s="6"/>
      <c r="D36" s="6"/>
      <c r="E36" s="6" t="str">
        <f t="shared" si="0"/>
        <v>缺必填</v>
      </c>
    </row>
    <row r="37" spans="1:5" ht="16.05" customHeight="1" x14ac:dyDescent="0.45">
      <c r="A37" s="6"/>
      <c r="B37" s="6"/>
      <c r="C37" s="6"/>
      <c r="D37" s="6"/>
      <c r="E37" s="6" t="str">
        <f t="shared" si="0"/>
        <v>缺必填</v>
      </c>
    </row>
    <row r="38" spans="1:5" ht="16.05" customHeight="1" x14ac:dyDescent="0.45">
      <c r="A38" s="6"/>
      <c r="B38" s="6"/>
      <c r="C38" s="6"/>
      <c r="D38" s="6"/>
      <c r="E38" s="6" t="str">
        <f t="shared" ref="E38:E69" si="1">IF((--(A38&lt;&gt;"")+--(B38&lt;&gt;""))=2,"OK","缺必填")</f>
        <v>缺必填</v>
      </c>
    </row>
    <row r="39" spans="1:5" ht="16.05" customHeight="1" x14ac:dyDescent="0.45">
      <c r="A39" s="6"/>
      <c r="B39" s="6"/>
      <c r="C39" s="6"/>
      <c r="D39" s="6"/>
      <c r="E39" s="6" t="str">
        <f t="shared" si="1"/>
        <v>缺必填</v>
      </c>
    </row>
    <row r="40" spans="1:5" ht="16.05" customHeight="1" x14ac:dyDescent="0.45">
      <c r="A40" s="6"/>
      <c r="B40" s="6"/>
      <c r="C40" s="6"/>
      <c r="D40" s="6"/>
      <c r="E40" s="6" t="str">
        <f t="shared" si="1"/>
        <v>缺必填</v>
      </c>
    </row>
    <row r="41" spans="1:5" ht="16.05" customHeight="1" x14ac:dyDescent="0.45">
      <c r="A41" s="6"/>
      <c r="B41" s="6"/>
      <c r="C41" s="6"/>
      <c r="D41" s="6"/>
      <c r="E41" s="6" t="str">
        <f t="shared" si="1"/>
        <v>缺必填</v>
      </c>
    </row>
    <row r="42" spans="1:5" ht="16.05" customHeight="1" x14ac:dyDescent="0.45">
      <c r="A42" s="6"/>
      <c r="B42" s="6"/>
      <c r="C42" s="6"/>
      <c r="D42" s="6"/>
      <c r="E42" s="6" t="str">
        <f t="shared" si="1"/>
        <v>缺必填</v>
      </c>
    </row>
    <row r="43" spans="1:5" ht="16.05" customHeight="1" x14ac:dyDescent="0.45">
      <c r="A43" s="6"/>
      <c r="B43" s="6"/>
      <c r="C43" s="6"/>
      <c r="D43" s="6"/>
      <c r="E43" s="6" t="str">
        <f t="shared" si="1"/>
        <v>缺必填</v>
      </c>
    </row>
    <row r="44" spans="1:5" ht="16.05" customHeight="1" x14ac:dyDescent="0.45">
      <c r="A44" s="6"/>
      <c r="B44" s="6"/>
      <c r="C44" s="6"/>
      <c r="D44" s="6"/>
      <c r="E44" s="6" t="str">
        <f t="shared" si="1"/>
        <v>缺必填</v>
      </c>
    </row>
    <row r="45" spans="1:5" ht="16.05" customHeight="1" x14ac:dyDescent="0.45">
      <c r="A45" s="6"/>
      <c r="B45" s="6"/>
      <c r="C45" s="6"/>
      <c r="D45" s="6"/>
      <c r="E45" s="6" t="str">
        <f t="shared" si="1"/>
        <v>缺必填</v>
      </c>
    </row>
    <row r="46" spans="1:5" ht="16.05" customHeight="1" x14ac:dyDescent="0.45">
      <c r="A46" s="6"/>
      <c r="B46" s="6"/>
      <c r="C46" s="6"/>
      <c r="D46" s="6"/>
      <c r="E46" s="6" t="str">
        <f t="shared" si="1"/>
        <v>缺必填</v>
      </c>
    </row>
    <row r="47" spans="1:5" ht="16.05" customHeight="1" x14ac:dyDescent="0.45">
      <c r="A47" s="6"/>
      <c r="B47" s="6"/>
      <c r="C47" s="6"/>
      <c r="D47" s="6"/>
      <c r="E47" s="6" t="str">
        <f t="shared" si="1"/>
        <v>缺必填</v>
      </c>
    </row>
    <row r="48" spans="1:5" ht="16.05" customHeight="1" x14ac:dyDescent="0.45">
      <c r="A48" s="6"/>
      <c r="B48" s="6"/>
      <c r="C48" s="6"/>
      <c r="D48" s="6"/>
      <c r="E48" s="6" t="str">
        <f t="shared" si="1"/>
        <v>缺必填</v>
      </c>
    </row>
    <row r="49" spans="1:5" ht="16.05" customHeight="1" x14ac:dyDescent="0.45">
      <c r="A49" s="6"/>
      <c r="B49" s="6"/>
      <c r="C49" s="6"/>
      <c r="D49" s="6"/>
      <c r="E49" s="6" t="str">
        <f t="shared" si="1"/>
        <v>缺必填</v>
      </c>
    </row>
    <row r="50" spans="1:5" ht="16.05" customHeight="1" x14ac:dyDescent="0.45">
      <c r="A50" s="6"/>
      <c r="B50" s="6"/>
      <c r="C50" s="6"/>
      <c r="D50" s="6"/>
      <c r="E50" s="6" t="str">
        <f t="shared" si="1"/>
        <v>缺必填</v>
      </c>
    </row>
    <row r="51" spans="1:5" ht="16.05" customHeight="1" x14ac:dyDescent="0.45">
      <c r="A51" s="6"/>
      <c r="B51" s="6"/>
      <c r="C51" s="6"/>
      <c r="D51" s="6"/>
      <c r="E51" s="6" t="str">
        <f t="shared" si="1"/>
        <v>缺必填</v>
      </c>
    </row>
    <row r="52" spans="1:5" ht="16.05" customHeight="1" x14ac:dyDescent="0.45">
      <c r="A52" s="6"/>
      <c r="B52" s="6"/>
      <c r="C52" s="6"/>
      <c r="D52" s="6"/>
      <c r="E52" s="6" t="str">
        <f t="shared" si="1"/>
        <v>缺必填</v>
      </c>
    </row>
    <row r="53" spans="1:5" ht="16.05" customHeight="1" x14ac:dyDescent="0.45">
      <c r="A53" s="6"/>
      <c r="B53" s="6"/>
      <c r="C53" s="6"/>
      <c r="D53" s="6"/>
      <c r="E53" s="6" t="str">
        <f t="shared" si="1"/>
        <v>缺必填</v>
      </c>
    </row>
    <row r="54" spans="1:5" ht="16.05" customHeight="1" x14ac:dyDescent="0.45">
      <c r="A54" s="6"/>
      <c r="B54" s="6"/>
      <c r="C54" s="6"/>
      <c r="D54" s="6"/>
      <c r="E54" s="6" t="str">
        <f t="shared" si="1"/>
        <v>缺必填</v>
      </c>
    </row>
    <row r="55" spans="1:5" ht="16.05" customHeight="1" x14ac:dyDescent="0.45">
      <c r="A55" s="6"/>
      <c r="B55" s="6"/>
      <c r="C55" s="6"/>
      <c r="D55" s="6"/>
      <c r="E55" s="6" t="str">
        <f t="shared" si="1"/>
        <v>缺必填</v>
      </c>
    </row>
    <row r="56" spans="1:5" ht="16.05" customHeight="1" x14ac:dyDescent="0.45">
      <c r="A56" s="6"/>
      <c r="B56" s="6"/>
      <c r="C56" s="6"/>
      <c r="D56" s="6"/>
      <c r="E56" s="6" t="str">
        <f t="shared" si="1"/>
        <v>缺必填</v>
      </c>
    </row>
    <row r="57" spans="1:5" ht="16.05" customHeight="1" x14ac:dyDescent="0.45">
      <c r="A57" s="6"/>
      <c r="B57" s="6"/>
      <c r="C57" s="6"/>
      <c r="D57" s="6"/>
      <c r="E57" s="6" t="str">
        <f t="shared" si="1"/>
        <v>缺必填</v>
      </c>
    </row>
    <row r="58" spans="1:5" ht="16.05" customHeight="1" x14ac:dyDescent="0.45">
      <c r="A58" s="6"/>
      <c r="B58" s="6"/>
      <c r="C58" s="6"/>
      <c r="D58" s="6"/>
      <c r="E58" s="6" t="str">
        <f t="shared" si="1"/>
        <v>缺必填</v>
      </c>
    </row>
    <row r="59" spans="1:5" ht="16.05" customHeight="1" x14ac:dyDescent="0.45">
      <c r="A59" s="6"/>
      <c r="B59" s="6"/>
      <c r="C59" s="6"/>
      <c r="D59" s="6"/>
      <c r="E59" s="6" t="str">
        <f t="shared" si="1"/>
        <v>缺必填</v>
      </c>
    </row>
    <row r="60" spans="1:5" ht="16.05" customHeight="1" x14ac:dyDescent="0.45">
      <c r="A60" s="6"/>
      <c r="B60" s="6"/>
      <c r="C60" s="6"/>
      <c r="D60" s="6"/>
      <c r="E60" s="6" t="str">
        <f t="shared" si="1"/>
        <v>缺必填</v>
      </c>
    </row>
    <row r="61" spans="1:5" ht="16.05" customHeight="1" x14ac:dyDescent="0.45">
      <c r="A61" s="6"/>
      <c r="B61" s="6"/>
      <c r="C61" s="6"/>
      <c r="D61" s="6"/>
      <c r="E61" s="6" t="str">
        <f t="shared" si="1"/>
        <v>缺必填</v>
      </c>
    </row>
    <row r="62" spans="1:5" ht="16.05" customHeight="1" x14ac:dyDescent="0.45">
      <c r="A62" s="6"/>
      <c r="B62" s="6"/>
      <c r="C62" s="6"/>
      <c r="D62" s="6"/>
      <c r="E62" s="6" t="str">
        <f t="shared" si="1"/>
        <v>缺必填</v>
      </c>
    </row>
    <row r="63" spans="1:5" ht="16.05" customHeight="1" x14ac:dyDescent="0.45">
      <c r="A63" s="6"/>
      <c r="B63" s="6"/>
      <c r="C63" s="6"/>
      <c r="D63" s="6"/>
      <c r="E63" s="6" t="str">
        <f t="shared" si="1"/>
        <v>缺必填</v>
      </c>
    </row>
    <row r="64" spans="1:5" ht="16.05" customHeight="1" x14ac:dyDescent="0.45">
      <c r="A64" s="6"/>
      <c r="B64" s="6"/>
      <c r="C64" s="6"/>
      <c r="D64" s="6"/>
      <c r="E64" s="6" t="str">
        <f t="shared" si="1"/>
        <v>缺必填</v>
      </c>
    </row>
    <row r="65" spans="1:5" ht="16.05" customHeight="1" x14ac:dyDescent="0.45">
      <c r="A65" s="6"/>
      <c r="B65" s="6"/>
      <c r="C65" s="6"/>
      <c r="D65" s="6"/>
      <c r="E65" s="6" t="str">
        <f t="shared" si="1"/>
        <v>缺必填</v>
      </c>
    </row>
    <row r="66" spans="1:5" ht="16.05" customHeight="1" x14ac:dyDescent="0.45">
      <c r="A66" s="6"/>
      <c r="B66" s="6"/>
      <c r="C66" s="6"/>
      <c r="D66" s="6"/>
      <c r="E66" s="6" t="str">
        <f t="shared" si="1"/>
        <v>缺必填</v>
      </c>
    </row>
    <row r="67" spans="1:5" ht="16.05" customHeight="1" x14ac:dyDescent="0.45">
      <c r="A67" s="6"/>
      <c r="B67" s="6"/>
      <c r="C67" s="6"/>
      <c r="D67" s="6"/>
      <c r="E67" s="6" t="str">
        <f t="shared" si="1"/>
        <v>缺必填</v>
      </c>
    </row>
    <row r="68" spans="1:5" ht="16.05" customHeight="1" x14ac:dyDescent="0.45">
      <c r="A68" s="6"/>
      <c r="B68" s="6"/>
      <c r="C68" s="6"/>
      <c r="D68" s="6"/>
      <c r="E68" s="6" t="str">
        <f t="shared" si="1"/>
        <v>缺必填</v>
      </c>
    </row>
    <row r="69" spans="1:5" ht="16.05" customHeight="1" x14ac:dyDescent="0.45">
      <c r="A69" s="6"/>
      <c r="B69" s="6"/>
      <c r="C69" s="6"/>
      <c r="D69" s="6"/>
      <c r="E69" s="6" t="str">
        <f t="shared" si="1"/>
        <v>缺必填</v>
      </c>
    </row>
    <row r="70" spans="1:5" ht="16.05" customHeight="1" x14ac:dyDescent="0.45">
      <c r="A70" s="6"/>
      <c r="B70" s="6"/>
      <c r="C70" s="6"/>
      <c r="D70" s="6"/>
      <c r="E70" s="6" t="str">
        <f t="shared" ref="E70:E101" si="2">IF((--(A70&lt;&gt;"")+--(B70&lt;&gt;""))=2,"OK","缺必填")</f>
        <v>缺必填</v>
      </c>
    </row>
    <row r="71" spans="1:5" ht="16.05" customHeight="1" x14ac:dyDescent="0.45">
      <c r="A71" s="6"/>
      <c r="B71" s="6"/>
      <c r="C71" s="6"/>
      <c r="D71" s="6"/>
      <c r="E71" s="6" t="str">
        <f t="shared" si="2"/>
        <v>缺必填</v>
      </c>
    </row>
    <row r="72" spans="1:5" ht="16.05" customHeight="1" x14ac:dyDescent="0.45">
      <c r="A72" s="6"/>
      <c r="B72" s="6"/>
      <c r="C72" s="6"/>
      <c r="D72" s="6"/>
      <c r="E72" s="6" t="str">
        <f t="shared" si="2"/>
        <v>缺必填</v>
      </c>
    </row>
    <row r="73" spans="1:5" ht="16.05" customHeight="1" x14ac:dyDescent="0.45">
      <c r="A73" s="6"/>
      <c r="B73" s="6"/>
      <c r="C73" s="6"/>
      <c r="D73" s="6"/>
      <c r="E73" s="6" t="str">
        <f t="shared" si="2"/>
        <v>缺必填</v>
      </c>
    </row>
    <row r="74" spans="1:5" ht="16.05" customHeight="1" x14ac:dyDescent="0.45">
      <c r="A74" s="6"/>
      <c r="B74" s="6"/>
      <c r="C74" s="6"/>
      <c r="D74" s="6"/>
      <c r="E74" s="6" t="str">
        <f t="shared" si="2"/>
        <v>缺必填</v>
      </c>
    </row>
    <row r="75" spans="1:5" ht="16.05" customHeight="1" x14ac:dyDescent="0.45">
      <c r="A75" s="6"/>
      <c r="B75" s="6"/>
      <c r="C75" s="6"/>
      <c r="D75" s="6"/>
      <c r="E75" s="6" t="str">
        <f t="shared" si="2"/>
        <v>缺必填</v>
      </c>
    </row>
    <row r="76" spans="1:5" ht="16.05" customHeight="1" x14ac:dyDescent="0.45">
      <c r="A76" s="6"/>
      <c r="B76" s="6"/>
      <c r="C76" s="6"/>
      <c r="D76" s="6"/>
      <c r="E76" s="6" t="str">
        <f t="shared" si="2"/>
        <v>缺必填</v>
      </c>
    </row>
    <row r="77" spans="1:5" ht="16.05" customHeight="1" x14ac:dyDescent="0.45">
      <c r="A77" s="6"/>
      <c r="B77" s="6"/>
      <c r="C77" s="6"/>
      <c r="D77" s="6"/>
      <c r="E77" s="6" t="str">
        <f t="shared" si="2"/>
        <v>缺必填</v>
      </c>
    </row>
    <row r="78" spans="1:5" ht="16.05" customHeight="1" x14ac:dyDescent="0.45">
      <c r="A78" s="6"/>
      <c r="B78" s="6"/>
      <c r="C78" s="6"/>
      <c r="D78" s="6"/>
      <c r="E78" s="6" t="str">
        <f t="shared" si="2"/>
        <v>缺必填</v>
      </c>
    </row>
    <row r="79" spans="1:5" ht="16.05" customHeight="1" x14ac:dyDescent="0.45">
      <c r="A79" s="6"/>
      <c r="B79" s="6"/>
      <c r="C79" s="6"/>
      <c r="D79" s="6"/>
      <c r="E79" s="6" t="str">
        <f t="shared" si="2"/>
        <v>缺必填</v>
      </c>
    </row>
    <row r="80" spans="1:5" ht="16.05" customHeight="1" x14ac:dyDescent="0.45">
      <c r="A80" s="6"/>
      <c r="B80" s="6"/>
      <c r="C80" s="6"/>
      <c r="D80" s="6"/>
      <c r="E80" s="6" t="str">
        <f t="shared" si="2"/>
        <v>缺必填</v>
      </c>
    </row>
    <row r="81" spans="1:5" ht="16.05" customHeight="1" x14ac:dyDescent="0.45">
      <c r="A81" s="6"/>
      <c r="B81" s="6"/>
      <c r="C81" s="6"/>
      <c r="D81" s="6"/>
      <c r="E81" s="6" t="str">
        <f t="shared" si="2"/>
        <v>缺必填</v>
      </c>
    </row>
    <row r="82" spans="1:5" ht="16.05" customHeight="1" x14ac:dyDescent="0.45">
      <c r="A82" s="6"/>
      <c r="B82" s="6"/>
      <c r="C82" s="6"/>
      <c r="D82" s="6"/>
      <c r="E82" s="6" t="str">
        <f t="shared" si="2"/>
        <v>缺必填</v>
      </c>
    </row>
    <row r="83" spans="1:5" ht="16.05" customHeight="1" x14ac:dyDescent="0.45">
      <c r="A83" s="6"/>
      <c r="B83" s="6"/>
      <c r="C83" s="6"/>
      <c r="D83" s="6"/>
      <c r="E83" s="6" t="str">
        <f t="shared" si="2"/>
        <v>缺必填</v>
      </c>
    </row>
    <row r="84" spans="1:5" ht="16.05" customHeight="1" x14ac:dyDescent="0.45">
      <c r="A84" s="6"/>
      <c r="B84" s="6"/>
      <c r="C84" s="6"/>
      <c r="D84" s="6"/>
      <c r="E84" s="6" t="str">
        <f t="shared" si="2"/>
        <v>缺必填</v>
      </c>
    </row>
    <row r="85" spans="1:5" ht="16.05" customHeight="1" x14ac:dyDescent="0.45">
      <c r="A85" s="6"/>
      <c r="B85" s="6"/>
      <c r="C85" s="6"/>
      <c r="D85" s="6"/>
      <c r="E85" s="6" t="str">
        <f t="shared" si="2"/>
        <v>缺必填</v>
      </c>
    </row>
    <row r="86" spans="1:5" ht="16.05" customHeight="1" x14ac:dyDescent="0.45">
      <c r="A86" s="6"/>
      <c r="B86" s="6"/>
      <c r="C86" s="6"/>
      <c r="D86" s="6"/>
      <c r="E86" s="6" t="str">
        <f t="shared" si="2"/>
        <v>缺必填</v>
      </c>
    </row>
    <row r="87" spans="1:5" ht="16.05" customHeight="1" x14ac:dyDescent="0.45">
      <c r="A87" s="6"/>
      <c r="B87" s="6"/>
      <c r="C87" s="6"/>
      <c r="D87" s="6"/>
      <c r="E87" s="6" t="str">
        <f t="shared" si="2"/>
        <v>缺必填</v>
      </c>
    </row>
    <row r="88" spans="1:5" ht="16.05" customHeight="1" x14ac:dyDescent="0.45">
      <c r="A88" s="6"/>
      <c r="B88" s="6"/>
      <c r="C88" s="6"/>
      <c r="D88" s="6"/>
      <c r="E88" s="6" t="str">
        <f t="shared" si="2"/>
        <v>缺必填</v>
      </c>
    </row>
    <row r="89" spans="1:5" ht="16.05" customHeight="1" x14ac:dyDescent="0.45">
      <c r="A89" s="6"/>
      <c r="B89" s="6"/>
      <c r="C89" s="6"/>
      <c r="D89" s="6"/>
      <c r="E89" s="6" t="str">
        <f t="shared" si="2"/>
        <v>缺必填</v>
      </c>
    </row>
    <row r="90" spans="1:5" ht="16.05" customHeight="1" x14ac:dyDescent="0.45">
      <c r="A90" s="6"/>
      <c r="B90" s="6"/>
      <c r="C90" s="6"/>
      <c r="D90" s="6"/>
      <c r="E90" s="6" t="str">
        <f t="shared" si="2"/>
        <v>缺必填</v>
      </c>
    </row>
    <row r="91" spans="1:5" ht="16.05" customHeight="1" x14ac:dyDescent="0.45">
      <c r="A91" s="6"/>
      <c r="B91" s="6"/>
      <c r="C91" s="6"/>
      <c r="D91" s="6"/>
      <c r="E91" s="6" t="str">
        <f t="shared" si="2"/>
        <v>缺必填</v>
      </c>
    </row>
    <row r="92" spans="1:5" ht="16.05" customHeight="1" x14ac:dyDescent="0.45">
      <c r="A92" s="6"/>
      <c r="B92" s="6"/>
      <c r="C92" s="6"/>
      <c r="D92" s="6"/>
      <c r="E92" s="6" t="str">
        <f t="shared" si="2"/>
        <v>缺必填</v>
      </c>
    </row>
    <row r="93" spans="1:5" ht="16.05" customHeight="1" x14ac:dyDescent="0.45">
      <c r="A93" s="6"/>
      <c r="B93" s="6"/>
      <c r="C93" s="6"/>
      <c r="D93" s="6"/>
      <c r="E93" s="6" t="str">
        <f t="shared" si="2"/>
        <v>缺必填</v>
      </c>
    </row>
    <row r="94" spans="1:5" ht="16.05" customHeight="1" x14ac:dyDescent="0.45">
      <c r="A94" s="6"/>
      <c r="B94" s="6"/>
      <c r="C94" s="6"/>
      <c r="D94" s="6"/>
      <c r="E94" s="6" t="str">
        <f t="shared" si="2"/>
        <v>缺必填</v>
      </c>
    </row>
    <row r="95" spans="1:5" ht="16.05" customHeight="1" x14ac:dyDescent="0.45">
      <c r="A95" s="6"/>
      <c r="B95" s="6"/>
      <c r="C95" s="6"/>
      <c r="D95" s="6"/>
      <c r="E95" s="6" t="str">
        <f t="shared" si="2"/>
        <v>缺必填</v>
      </c>
    </row>
    <row r="96" spans="1:5" ht="16.05" customHeight="1" x14ac:dyDescent="0.45">
      <c r="A96" s="6"/>
      <c r="B96" s="6"/>
      <c r="C96" s="6"/>
      <c r="D96" s="6"/>
      <c r="E96" s="6" t="str">
        <f t="shared" si="2"/>
        <v>缺必填</v>
      </c>
    </row>
    <row r="97" spans="1:5" ht="16.05" customHeight="1" x14ac:dyDescent="0.45">
      <c r="A97" s="6"/>
      <c r="B97" s="6"/>
      <c r="C97" s="6"/>
      <c r="D97" s="6"/>
      <c r="E97" s="6" t="str">
        <f t="shared" si="2"/>
        <v>缺必填</v>
      </c>
    </row>
    <row r="98" spans="1:5" ht="16.05" customHeight="1" x14ac:dyDescent="0.45">
      <c r="A98" s="6"/>
      <c r="B98" s="6"/>
      <c r="C98" s="6"/>
      <c r="D98" s="6"/>
      <c r="E98" s="6" t="str">
        <f t="shared" si="2"/>
        <v>缺必填</v>
      </c>
    </row>
    <row r="99" spans="1:5" ht="16.05" customHeight="1" x14ac:dyDescent="0.45">
      <c r="A99" s="6"/>
      <c r="B99" s="6"/>
      <c r="C99" s="6"/>
      <c r="D99" s="6"/>
      <c r="E99" s="6" t="str">
        <f t="shared" si="2"/>
        <v>缺必填</v>
      </c>
    </row>
    <row r="100" spans="1:5" ht="16.05" customHeight="1" x14ac:dyDescent="0.45">
      <c r="A100" s="6"/>
      <c r="B100" s="6"/>
      <c r="C100" s="6"/>
      <c r="D100" s="6"/>
      <c r="E100" s="6" t="str">
        <f t="shared" si="2"/>
        <v>缺必填</v>
      </c>
    </row>
    <row r="101" spans="1:5" ht="16.05" customHeight="1" x14ac:dyDescent="0.45">
      <c r="A101" s="6"/>
      <c r="B101" s="6"/>
      <c r="C101" s="6"/>
      <c r="D101" s="6"/>
      <c r="E101" s="6" t="str">
        <f t="shared" si="2"/>
        <v>缺必填</v>
      </c>
    </row>
    <row r="102" spans="1:5" ht="16.05" customHeight="1" x14ac:dyDescent="0.45">
      <c r="A102" s="6"/>
      <c r="B102" s="6"/>
      <c r="C102" s="6"/>
      <c r="D102" s="6"/>
      <c r="E102" s="6" t="str">
        <f t="shared" ref="E102:E133" si="3">IF((--(A102&lt;&gt;"")+--(B102&lt;&gt;""))=2,"OK","缺必填")</f>
        <v>缺必填</v>
      </c>
    </row>
    <row r="103" spans="1:5" ht="16.05" customHeight="1" x14ac:dyDescent="0.45">
      <c r="A103" s="6"/>
      <c r="B103" s="6"/>
      <c r="C103" s="6"/>
      <c r="D103" s="6"/>
      <c r="E103" s="6" t="str">
        <f t="shared" si="3"/>
        <v>缺必填</v>
      </c>
    </row>
    <row r="104" spans="1:5" ht="16.05" customHeight="1" x14ac:dyDescent="0.45">
      <c r="A104" s="6"/>
      <c r="B104" s="6"/>
      <c r="C104" s="6"/>
      <c r="D104" s="6"/>
      <c r="E104" s="6" t="str">
        <f t="shared" si="3"/>
        <v>缺必填</v>
      </c>
    </row>
    <row r="105" spans="1:5" ht="16.05" customHeight="1" x14ac:dyDescent="0.45">
      <c r="A105" s="6"/>
      <c r="B105" s="6"/>
      <c r="C105" s="6"/>
      <c r="D105" s="6"/>
      <c r="E105" s="6" t="str">
        <f t="shared" si="3"/>
        <v>缺必填</v>
      </c>
    </row>
    <row r="106" spans="1:5" ht="16.05" customHeight="1" x14ac:dyDescent="0.45">
      <c r="A106" s="6"/>
      <c r="B106" s="6"/>
      <c r="C106" s="6"/>
      <c r="D106" s="6"/>
      <c r="E106" s="6" t="str">
        <f t="shared" si="3"/>
        <v>缺必填</v>
      </c>
    </row>
    <row r="107" spans="1:5" ht="16.05" customHeight="1" x14ac:dyDescent="0.45">
      <c r="A107" s="6"/>
      <c r="B107" s="6"/>
      <c r="C107" s="6"/>
      <c r="D107" s="6"/>
      <c r="E107" s="6" t="str">
        <f t="shared" si="3"/>
        <v>缺必填</v>
      </c>
    </row>
    <row r="108" spans="1:5" ht="16.05" customHeight="1" x14ac:dyDescent="0.45">
      <c r="A108" s="6"/>
      <c r="B108" s="6"/>
      <c r="C108" s="6"/>
      <c r="D108" s="6"/>
      <c r="E108" s="6" t="str">
        <f t="shared" si="3"/>
        <v>缺必填</v>
      </c>
    </row>
    <row r="109" spans="1:5" ht="16.05" customHeight="1" x14ac:dyDescent="0.45">
      <c r="A109" s="6"/>
      <c r="B109" s="6"/>
      <c r="C109" s="6"/>
      <c r="D109" s="6"/>
      <c r="E109" s="6" t="str">
        <f t="shared" si="3"/>
        <v>缺必填</v>
      </c>
    </row>
    <row r="110" spans="1:5" ht="16.05" customHeight="1" x14ac:dyDescent="0.45">
      <c r="A110" s="6"/>
      <c r="B110" s="6"/>
      <c r="C110" s="6"/>
      <c r="D110" s="6"/>
      <c r="E110" s="6" t="str">
        <f t="shared" si="3"/>
        <v>缺必填</v>
      </c>
    </row>
    <row r="111" spans="1:5" ht="16.05" customHeight="1" x14ac:dyDescent="0.45">
      <c r="A111" s="6"/>
      <c r="B111" s="6"/>
      <c r="C111" s="6"/>
      <c r="D111" s="6"/>
      <c r="E111" s="6" t="str">
        <f t="shared" si="3"/>
        <v>缺必填</v>
      </c>
    </row>
    <row r="112" spans="1:5" ht="16.05" customHeight="1" x14ac:dyDescent="0.45">
      <c r="A112" s="6"/>
      <c r="B112" s="6"/>
      <c r="C112" s="6"/>
      <c r="D112" s="6"/>
      <c r="E112" s="6" t="str">
        <f t="shared" si="3"/>
        <v>缺必填</v>
      </c>
    </row>
    <row r="113" spans="1:5" ht="16.05" customHeight="1" x14ac:dyDescent="0.45">
      <c r="A113" s="6"/>
      <c r="B113" s="6"/>
      <c r="C113" s="6"/>
      <c r="D113" s="6"/>
      <c r="E113" s="6" t="str">
        <f t="shared" si="3"/>
        <v>缺必填</v>
      </c>
    </row>
    <row r="114" spans="1:5" ht="16.05" customHeight="1" x14ac:dyDescent="0.45">
      <c r="A114" s="6"/>
      <c r="B114" s="6"/>
      <c r="C114" s="6"/>
      <c r="D114" s="6"/>
      <c r="E114" s="6" t="str">
        <f t="shared" si="3"/>
        <v>缺必填</v>
      </c>
    </row>
    <row r="115" spans="1:5" ht="16.05" customHeight="1" x14ac:dyDescent="0.45">
      <c r="A115" s="6"/>
      <c r="B115" s="6"/>
      <c r="C115" s="6"/>
      <c r="D115" s="6"/>
      <c r="E115" s="6" t="str">
        <f t="shared" si="3"/>
        <v>缺必填</v>
      </c>
    </row>
    <row r="116" spans="1:5" ht="16.05" customHeight="1" x14ac:dyDescent="0.45">
      <c r="A116" s="6"/>
      <c r="B116" s="6"/>
      <c r="C116" s="6"/>
      <c r="D116" s="6"/>
      <c r="E116" s="6" t="str">
        <f t="shared" si="3"/>
        <v>缺必填</v>
      </c>
    </row>
    <row r="117" spans="1:5" ht="16.05" customHeight="1" x14ac:dyDescent="0.45">
      <c r="A117" s="6"/>
      <c r="B117" s="6"/>
      <c r="C117" s="6"/>
      <c r="D117" s="6"/>
      <c r="E117" s="6" t="str">
        <f t="shared" si="3"/>
        <v>缺必填</v>
      </c>
    </row>
    <row r="118" spans="1:5" ht="16.05" customHeight="1" x14ac:dyDescent="0.45">
      <c r="A118" s="6"/>
      <c r="B118" s="6"/>
      <c r="C118" s="6"/>
      <c r="D118" s="6"/>
      <c r="E118" s="6" t="str">
        <f t="shared" si="3"/>
        <v>缺必填</v>
      </c>
    </row>
    <row r="119" spans="1:5" ht="16.05" customHeight="1" x14ac:dyDescent="0.45">
      <c r="A119" s="6"/>
      <c r="B119" s="6"/>
      <c r="C119" s="6"/>
      <c r="D119" s="6"/>
      <c r="E119" s="6" t="str">
        <f t="shared" si="3"/>
        <v>缺必填</v>
      </c>
    </row>
    <row r="120" spans="1:5" ht="16.05" customHeight="1" x14ac:dyDescent="0.45">
      <c r="A120" s="6"/>
      <c r="B120" s="6"/>
      <c r="C120" s="6"/>
      <c r="D120" s="6"/>
      <c r="E120" s="6" t="str">
        <f t="shared" si="3"/>
        <v>缺必填</v>
      </c>
    </row>
    <row r="121" spans="1:5" ht="16.05" customHeight="1" x14ac:dyDescent="0.45">
      <c r="A121" s="6"/>
      <c r="B121" s="6"/>
      <c r="C121" s="6"/>
      <c r="D121" s="6"/>
      <c r="E121" s="6" t="str">
        <f t="shared" si="3"/>
        <v>缺必填</v>
      </c>
    </row>
    <row r="122" spans="1:5" ht="16.05" customHeight="1" x14ac:dyDescent="0.45">
      <c r="A122" s="6"/>
      <c r="B122" s="6"/>
      <c r="C122" s="6"/>
      <c r="D122" s="6"/>
      <c r="E122" s="6" t="str">
        <f t="shared" si="3"/>
        <v>缺必填</v>
      </c>
    </row>
    <row r="123" spans="1:5" ht="16.05" customHeight="1" x14ac:dyDescent="0.45">
      <c r="A123" s="6"/>
      <c r="B123" s="6"/>
      <c r="C123" s="6"/>
      <c r="D123" s="6"/>
      <c r="E123" s="6" t="str">
        <f t="shared" si="3"/>
        <v>缺必填</v>
      </c>
    </row>
    <row r="124" spans="1:5" ht="16.05" customHeight="1" x14ac:dyDescent="0.45">
      <c r="A124" s="6"/>
      <c r="B124" s="6"/>
      <c r="C124" s="6"/>
      <c r="D124" s="6"/>
      <c r="E124" s="6" t="str">
        <f t="shared" si="3"/>
        <v>缺必填</v>
      </c>
    </row>
    <row r="125" spans="1:5" ht="16.05" customHeight="1" x14ac:dyDescent="0.45">
      <c r="A125" s="6"/>
      <c r="B125" s="6"/>
      <c r="C125" s="6"/>
      <c r="D125" s="6"/>
      <c r="E125" s="6" t="str">
        <f t="shared" si="3"/>
        <v>缺必填</v>
      </c>
    </row>
    <row r="126" spans="1:5" ht="16.05" customHeight="1" x14ac:dyDescent="0.45">
      <c r="A126" s="6"/>
      <c r="B126" s="6"/>
      <c r="C126" s="6"/>
      <c r="D126" s="6"/>
      <c r="E126" s="6" t="str">
        <f t="shared" si="3"/>
        <v>缺必填</v>
      </c>
    </row>
    <row r="127" spans="1:5" ht="16.05" customHeight="1" x14ac:dyDescent="0.45">
      <c r="A127" s="6"/>
      <c r="B127" s="6"/>
      <c r="C127" s="6"/>
      <c r="D127" s="6"/>
      <c r="E127" s="6" t="str">
        <f t="shared" si="3"/>
        <v>缺必填</v>
      </c>
    </row>
    <row r="128" spans="1:5" ht="16.05" customHeight="1" x14ac:dyDescent="0.45">
      <c r="A128" s="6"/>
      <c r="B128" s="6"/>
      <c r="C128" s="6"/>
      <c r="D128" s="6"/>
      <c r="E128" s="6" t="str">
        <f t="shared" si="3"/>
        <v>缺必填</v>
      </c>
    </row>
    <row r="129" spans="1:5" ht="16.05" customHeight="1" x14ac:dyDescent="0.45">
      <c r="A129" s="6"/>
      <c r="B129" s="6"/>
      <c r="C129" s="6"/>
      <c r="D129" s="6"/>
      <c r="E129" s="6" t="str">
        <f t="shared" si="3"/>
        <v>缺必填</v>
      </c>
    </row>
    <row r="130" spans="1:5" ht="16.05" customHeight="1" x14ac:dyDescent="0.45">
      <c r="A130" s="6"/>
      <c r="B130" s="6"/>
      <c r="C130" s="6"/>
      <c r="D130" s="6"/>
      <c r="E130" s="6" t="str">
        <f t="shared" si="3"/>
        <v>缺必填</v>
      </c>
    </row>
    <row r="131" spans="1:5" ht="16.05" customHeight="1" x14ac:dyDescent="0.45">
      <c r="A131" s="6"/>
      <c r="B131" s="6"/>
      <c r="C131" s="6"/>
      <c r="D131" s="6"/>
      <c r="E131" s="6" t="str">
        <f t="shared" si="3"/>
        <v>缺必填</v>
      </c>
    </row>
    <row r="132" spans="1:5" ht="16.05" customHeight="1" x14ac:dyDescent="0.45">
      <c r="A132" s="6"/>
      <c r="B132" s="6"/>
      <c r="C132" s="6"/>
      <c r="D132" s="6"/>
      <c r="E132" s="6" t="str">
        <f t="shared" si="3"/>
        <v>缺必填</v>
      </c>
    </row>
    <row r="133" spans="1:5" ht="16.05" customHeight="1" x14ac:dyDescent="0.45">
      <c r="A133" s="6"/>
      <c r="B133" s="6"/>
      <c r="C133" s="6"/>
      <c r="D133" s="6"/>
      <c r="E133" s="6" t="str">
        <f t="shared" si="3"/>
        <v>缺必填</v>
      </c>
    </row>
    <row r="134" spans="1:5" ht="16.05" customHeight="1" x14ac:dyDescent="0.45">
      <c r="A134" s="6"/>
      <c r="B134" s="6"/>
      <c r="C134" s="6"/>
      <c r="D134" s="6"/>
      <c r="E134" s="6" t="str">
        <f t="shared" ref="E134:E165" si="4">IF((--(A134&lt;&gt;"")+--(B134&lt;&gt;""))=2,"OK","缺必填")</f>
        <v>缺必填</v>
      </c>
    </row>
    <row r="135" spans="1:5" ht="16.05" customHeight="1" x14ac:dyDescent="0.45">
      <c r="A135" s="6"/>
      <c r="B135" s="6"/>
      <c r="C135" s="6"/>
      <c r="D135" s="6"/>
      <c r="E135" s="6" t="str">
        <f t="shared" si="4"/>
        <v>缺必填</v>
      </c>
    </row>
    <row r="136" spans="1:5" ht="16.05" customHeight="1" x14ac:dyDescent="0.45">
      <c r="A136" s="6"/>
      <c r="B136" s="6"/>
      <c r="C136" s="6"/>
      <c r="D136" s="6"/>
      <c r="E136" s="6" t="str">
        <f t="shared" si="4"/>
        <v>缺必填</v>
      </c>
    </row>
    <row r="137" spans="1:5" ht="16.05" customHeight="1" x14ac:dyDescent="0.45">
      <c r="A137" s="6"/>
      <c r="B137" s="6"/>
      <c r="C137" s="6"/>
      <c r="D137" s="6"/>
      <c r="E137" s="6" t="str">
        <f t="shared" si="4"/>
        <v>缺必填</v>
      </c>
    </row>
    <row r="138" spans="1:5" ht="16.05" customHeight="1" x14ac:dyDescent="0.45">
      <c r="A138" s="6"/>
      <c r="B138" s="6"/>
      <c r="C138" s="6"/>
      <c r="D138" s="6"/>
      <c r="E138" s="6" t="str">
        <f t="shared" si="4"/>
        <v>缺必填</v>
      </c>
    </row>
    <row r="139" spans="1:5" ht="16.05" customHeight="1" x14ac:dyDescent="0.45">
      <c r="A139" s="6"/>
      <c r="B139" s="6"/>
      <c r="C139" s="6"/>
      <c r="D139" s="6"/>
      <c r="E139" s="6" t="str">
        <f t="shared" si="4"/>
        <v>缺必填</v>
      </c>
    </row>
    <row r="140" spans="1:5" ht="16.05" customHeight="1" x14ac:dyDescent="0.45">
      <c r="A140" s="6"/>
      <c r="B140" s="6"/>
      <c r="C140" s="6"/>
      <c r="D140" s="6"/>
      <c r="E140" s="6" t="str">
        <f t="shared" si="4"/>
        <v>缺必填</v>
      </c>
    </row>
    <row r="141" spans="1:5" ht="16.05" customHeight="1" x14ac:dyDescent="0.45">
      <c r="A141" s="6"/>
      <c r="B141" s="6"/>
      <c r="C141" s="6"/>
      <c r="D141" s="6"/>
      <c r="E141" s="6" t="str">
        <f t="shared" si="4"/>
        <v>缺必填</v>
      </c>
    </row>
    <row r="142" spans="1:5" ht="16.05" customHeight="1" x14ac:dyDescent="0.45">
      <c r="A142" s="6"/>
      <c r="B142" s="6"/>
      <c r="C142" s="6"/>
      <c r="D142" s="6"/>
      <c r="E142" s="6" t="str">
        <f t="shared" si="4"/>
        <v>缺必填</v>
      </c>
    </row>
    <row r="143" spans="1:5" ht="16.05" customHeight="1" x14ac:dyDescent="0.45">
      <c r="A143" s="6"/>
      <c r="B143" s="6"/>
      <c r="C143" s="6"/>
      <c r="D143" s="6"/>
      <c r="E143" s="6" t="str">
        <f t="shared" si="4"/>
        <v>缺必填</v>
      </c>
    </row>
    <row r="144" spans="1:5" ht="16.05" customHeight="1" x14ac:dyDescent="0.45">
      <c r="A144" s="6"/>
      <c r="B144" s="6"/>
      <c r="C144" s="6"/>
      <c r="D144" s="6"/>
      <c r="E144" s="6" t="str">
        <f t="shared" si="4"/>
        <v>缺必填</v>
      </c>
    </row>
    <row r="145" spans="1:5" ht="16.05" customHeight="1" x14ac:dyDescent="0.45">
      <c r="A145" s="6"/>
      <c r="B145" s="6"/>
      <c r="C145" s="6"/>
      <c r="D145" s="6"/>
      <c r="E145" s="6" t="str">
        <f t="shared" si="4"/>
        <v>缺必填</v>
      </c>
    </row>
    <row r="146" spans="1:5" ht="16.05" customHeight="1" x14ac:dyDescent="0.45">
      <c r="A146" s="6"/>
      <c r="B146" s="6"/>
      <c r="C146" s="6"/>
      <c r="D146" s="6"/>
      <c r="E146" s="6" t="str">
        <f t="shared" si="4"/>
        <v>缺必填</v>
      </c>
    </row>
    <row r="147" spans="1:5" ht="16.05" customHeight="1" x14ac:dyDescent="0.45">
      <c r="A147" s="6"/>
      <c r="B147" s="6"/>
      <c r="C147" s="6"/>
      <c r="D147" s="6"/>
      <c r="E147" s="6" t="str">
        <f t="shared" si="4"/>
        <v>缺必填</v>
      </c>
    </row>
    <row r="148" spans="1:5" ht="16.05" customHeight="1" x14ac:dyDescent="0.45">
      <c r="A148" s="6"/>
      <c r="B148" s="6"/>
      <c r="C148" s="6"/>
      <c r="D148" s="6"/>
      <c r="E148" s="6" t="str">
        <f t="shared" si="4"/>
        <v>缺必填</v>
      </c>
    </row>
    <row r="149" spans="1:5" ht="16.05" customHeight="1" x14ac:dyDescent="0.45">
      <c r="A149" s="6"/>
      <c r="B149" s="6"/>
      <c r="C149" s="6"/>
      <c r="D149" s="6"/>
      <c r="E149" s="6" t="str">
        <f t="shared" si="4"/>
        <v>缺必填</v>
      </c>
    </row>
    <row r="150" spans="1:5" ht="16.05" customHeight="1" x14ac:dyDescent="0.45">
      <c r="A150" s="6"/>
      <c r="B150" s="6"/>
      <c r="C150" s="6"/>
      <c r="D150" s="6"/>
      <c r="E150" s="6" t="str">
        <f t="shared" si="4"/>
        <v>缺必填</v>
      </c>
    </row>
    <row r="151" spans="1:5" ht="16.05" customHeight="1" x14ac:dyDescent="0.45">
      <c r="A151" s="6"/>
      <c r="B151" s="6"/>
      <c r="C151" s="6"/>
      <c r="D151" s="6"/>
      <c r="E151" s="6" t="str">
        <f t="shared" si="4"/>
        <v>缺必填</v>
      </c>
    </row>
    <row r="152" spans="1:5" ht="16.05" customHeight="1" x14ac:dyDescent="0.45">
      <c r="A152" s="6"/>
      <c r="B152" s="6"/>
      <c r="C152" s="6"/>
      <c r="D152" s="6"/>
      <c r="E152" s="6" t="str">
        <f t="shared" si="4"/>
        <v>缺必填</v>
      </c>
    </row>
    <row r="153" spans="1:5" ht="16.05" customHeight="1" x14ac:dyDescent="0.45">
      <c r="A153" s="6"/>
      <c r="B153" s="6"/>
      <c r="C153" s="6"/>
      <c r="D153" s="6"/>
      <c r="E153" s="6" t="str">
        <f t="shared" si="4"/>
        <v>缺必填</v>
      </c>
    </row>
    <row r="154" spans="1:5" ht="16.05" customHeight="1" x14ac:dyDescent="0.45">
      <c r="A154" s="6"/>
      <c r="B154" s="6"/>
      <c r="C154" s="6"/>
      <c r="D154" s="6"/>
      <c r="E154" s="6" t="str">
        <f t="shared" si="4"/>
        <v>缺必填</v>
      </c>
    </row>
    <row r="155" spans="1:5" ht="16.05" customHeight="1" x14ac:dyDescent="0.45">
      <c r="A155" s="6"/>
      <c r="B155" s="6"/>
      <c r="C155" s="6"/>
      <c r="D155" s="6"/>
      <c r="E155" s="6" t="str">
        <f t="shared" si="4"/>
        <v>缺必填</v>
      </c>
    </row>
    <row r="156" spans="1:5" ht="16.05" customHeight="1" x14ac:dyDescent="0.45">
      <c r="A156" s="6"/>
      <c r="B156" s="6"/>
      <c r="C156" s="6"/>
      <c r="D156" s="6"/>
      <c r="E156" s="6" t="str">
        <f t="shared" si="4"/>
        <v>缺必填</v>
      </c>
    </row>
    <row r="157" spans="1:5" ht="16.05" customHeight="1" x14ac:dyDescent="0.45">
      <c r="A157" s="6"/>
      <c r="B157" s="6"/>
      <c r="C157" s="6"/>
      <c r="D157" s="6"/>
      <c r="E157" s="6" t="str">
        <f t="shared" si="4"/>
        <v>缺必填</v>
      </c>
    </row>
    <row r="158" spans="1:5" ht="16.05" customHeight="1" x14ac:dyDescent="0.45">
      <c r="A158" s="6"/>
      <c r="B158" s="6"/>
      <c r="C158" s="6"/>
      <c r="D158" s="6"/>
      <c r="E158" s="6" t="str">
        <f t="shared" si="4"/>
        <v>缺必填</v>
      </c>
    </row>
    <row r="159" spans="1:5" ht="16.05" customHeight="1" x14ac:dyDescent="0.45">
      <c r="A159" s="6"/>
      <c r="B159" s="6"/>
      <c r="C159" s="6"/>
      <c r="D159" s="6"/>
      <c r="E159" s="6" t="str">
        <f t="shared" si="4"/>
        <v>缺必填</v>
      </c>
    </row>
    <row r="160" spans="1:5" ht="16.05" customHeight="1" x14ac:dyDescent="0.45">
      <c r="A160" s="6"/>
      <c r="B160" s="6"/>
      <c r="C160" s="6"/>
      <c r="D160" s="6"/>
      <c r="E160" s="6" t="str">
        <f t="shared" si="4"/>
        <v>缺必填</v>
      </c>
    </row>
    <row r="161" spans="1:5" ht="16.05" customHeight="1" x14ac:dyDescent="0.45">
      <c r="A161" s="6"/>
      <c r="B161" s="6"/>
      <c r="C161" s="6"/>
      <c r="D161" s="6"/>
      <c r="E161" s="6" t="str">
        <f t="shared" si="4"/>
        <v>缺必填</v>
      </c>
    </row>
    <row r="162" spans="1:5" ht="16.05" customHeight="1" x14ac:dyDescent="0.45">
      <c r="A162" s="6"/>
      <c r="B162" s="6"/>
      <c r="C162" s="6"/>
      <c r="D162" s="6"/>
      <c r="E162" s="6" t="str">
        <f t="shared" si="4"/>
        <v>缺必填</v>
      </c>
    </row>
    <row r="163" spans="1:5" ht="16.05" customHeight="1" x14ac:dyDescent="0.45">
      <c r="A163" s="6"/>
      <c r="B163" s="6"/>
      <c r="C163" s="6"/>
      <c r="D163" s="6"/>
      <c r="E163" s="6" t="str">
        <f t="shared" si="4"/>
        <v>缺必填</v>
      </c>
    </row>
    <row r="164" spans="1:5" ht="16.05" customHeight="1" x14ac:dyDescent="0.45">
      <c r="A164" s="6"/>
      <c r="B164" s="6"/>
      <c r="C164" s="6"/>
      <c r="D164" s="6"/>
      <c r="E164" s="6" t="str">
        <f t="shared" si="4"/>
        <v>缺必填</v>
      </c>
    </row>
    <row r="165" spans="1:5" ht="16.05" customHeight="1" x14ac:dyDescent="0.45">
      <c r="A165" s="6"/>
      <c r="B165" s="6"/>
      <c r="C165" s="6"/>
      <c r="D165" s="6"/>
      <c r="E165" s="6" t="str">
        <f t="shared" si="4"/>
        <v>缺必填</v>
      </c>
    </row>
    <row r="166" spans="1:5" ht="16.05" customHeight="1" x14ac:dyDescent="0.45">
      <c r="A166" s="6"/>
      <c r="B166" s="6"/>
      <c r="C166" s="6"/>
      <c r="D166" s="6"/>
      <c r="E166" s="6" t="str">
        <f t="shared" ref="E166:E197" si="5">IF((--(A166&lt;&gt;"")+--(B166&lt;&gt;""))=2,"OK","缺必填")</f>
        <v>缺必填</v>
      </c>
    </row>
    <row r="167" spans="1:5" ht="16.05" customHeight="1" x14ac:dyDescent="0.45">
      <c r="A167" s="6"/>
      <c r="B167" s="6"/>
      <c r="C167" s="6"/>
      <c r="D167" s="6"/>
      <c r="E167" s="6" t="str">
        <f t="shared" si="5"/>
        <v>缺必填</v>
      </c>
    </row>
    <row r="168" spans="1:5" ht="16.05" customHeight="1" x14ac:dyDescent="0.45">
      <c r="A168" s="6"/>
      <c r="B168" s="6"/>
      <c r="C168" s="6"/>
      <c r="D168" s="6"/>
      <c r="E168" s="6" t="str">
        <f t="shared" si="5"/>
        <v>缺必填</v>
      </c>
    </row>
    <row r="169" spans="1:5" ht="16.05" customHeight="1" x14ac:dyDescent="0.45">
      <c r="A169" s="6"/>
      <c r="B169" s="6"/>
      <c r="C169" s="6"/>
      <c r="D169" s="6"/>
      <c r="E169" s="6" t="str">
        <f t="shared" si="5"/>
        <v>缺必填</v>
      </c>
    </row>
    <row r="170" spans="1:5" ht="16.05" customHeight="1" x14ac:dyDescent="0.45">
      <c r="A170" s="6"/>
      <c r="B170" s="6"/>
      <c r="C170" s="6"/>
      <c r="D170" s="6"/>
      <c r="E170" s="6" t="str">
        <f t="shared" si="5"/>
        <v>缺必填</v>
      </c>
    </row>
    <row r="171" spans="1:5" ht="16.05" customHeight="1" x14ac:dyDescent="0.45">
      <c r="A171" s="6"/>
      <c r="B171" s="6"/>
      <c r="C171" s="6"/>
      <c r="D171" s="6"/>
      <c r="E171" s="6" t="str">
        <f t="shared" si="5"/>
        <v>缺必填</v>
      </c>
    </row>
    <row r="172" spans="1:5" ht="16.05" customHeight="1" x14ac:dyDescent="0.45">
      <c r="A172" s="6"/>
      <c r="B172" s="6"/>
      <c r="C172" s="6"/>
      <c r="D172" s="6"/>
      <c r="E172" s="6" t="str">
        <f t="shared" si="5"/>
        <v>缺必填</v>
      </c>
    </row>
    <row r="173" spans="1:5" ht="16.05" customHeight="1" x14ac:dyDescent="0.45">
      <c r="A173" s="6"/>
      <c r="B173" s="6"/>
      <c r="C173" s="6"/>
      <c r="D173" s="6"/>
      <c r="E173" s="6" t="str">
        <f t="shared" si="5"/>
        <v>缺必填</v>
      </c>
    </row>
    <row r="174" spans="1:5" ht="16.05" customHeight="1" x14ac:dyDescent="0.45">
      <c r="A174" s="6"/>
      <c r="B174" s="6"/>
      <c r="C174" s="6"/>
      <c r="D174" s="6"/>
      <c r="E174" s="6" t="str">
        <f t="shared" si="5"/>
        <v>缺必填</v>
      </c>
    </row>
    <row r="175" spans="1:5" ht="16.05" customHeight="1" x14ac:dyDescent="0.45">
      <c r="A175" s="6"/>
      <c r="B175" s="6"/>
      <c r="C175" s="6"/>
      <c r="D175" s="6"/>
      <c r="E175" s="6" t="str">
        <f t="shared" si="5"/>
        <v>缺必填</v>
      </c>
    </row>
    <row r="176" spans="1:5" ht="16.05" customHeight="1" x14ac:dyDescent="0.45">
      <c r="A176" s="6"/>
      <c r="B176" s="6"/>
      <c r="C176" s="6"/>
      <c r="D176" s="6"/>
      <c r="E176" s="6" t="str">
        <f t="shared" si="5"/>
        <v>缺必填</v>
      </c>
    </row>
    <row r="177" spans="1:5" ht="16.05" customHeight="1" x14ac:dyDescent="0.45">
      <c r="A177" s="6"/>
      <c r="B177" s="6"/>
      <c r="C177" s="6"/>
      <c r="D177" s="6"/>
      <c r="E177" s="6" t="str">
        <f t="shared" si="5"/>
        <v>缺必填</v>
      </c>
    </row>
    <row r="178" spans="1:5" ht="16.05" customHeight="1" x14ac:dyDescent="0.45">
      <c r="A178" s="6"/>
      <c r="B178" s="6"/>
      <c r="C178" s="6"/>
      <c r="D178" s="6"/>
      <c r="E178" s="6" t="str">
        <f t="shared" si="5"/>
        <v>缺必填</v>
      </c>
    </row>
    <row r="179" spans="1:5" ht="16.05" customHeight="1" x14ac:dyDescent="0.45">
      <c r="A179" s="6"/>
      <c r="B179" s="6"/>
      <c r="C179" s="6"/>
      <c r="D179" s="6"/>
      <c r="E179" s="6" t="str">
        <f t="shared" si="5"/>
        <v>缺必填</v>
      </c>
    </row>
    <row r="180" spans="1:5" ht="16.05" customHeight="1" x14ac:dyDescent="0.45">
      <c r="A180" s="6"/>
      <c r="B180" s="6"/>
      <c r="C180" s="6"/>
      <c r="D180" s="6"/>
      <c r="E180" s="6" t="str">
        <f t="shared" si="5"/>
        <v>缺必填</v>
      </c>
    </row>
    <row r="181" spans="1:5" ht="16.05" customHeight="1" x14ac:dyDescent="0.45">
      <c r="A181" s="6"/>
      <c r="B181" s="6"/>
      <c r="C181" s="6"/>
      <c r="D181" s="6"/>
      <c r="E181" s="6" t="str">
        <f t="shared" si="5"/>
        <v>缺必填</v>
      </c>
    </row>
    <row r="182" spans="1:5" ht="16.05" customHeight="1" x14ac:dyDescent="0.45">
      <c r="A182" s="6"/>
      <c r="B182" s="6"/>
      <c r="C182" s="6"/>
      <c r="D182" s="6"/>
      <c r="E182" s="6" t="str">
        <f t="shared" si="5"/>
        <v>缺必填</v>
      </c>
    </row>
    <row r="183" spans="1:5" ht="16.05" customHeight="1" x14ac:dyDescent="0.45">
      <c r="A183" s="6"/>
      <c r="B183" s="6"/>
      <c r="C183" s="6"/>
      <c r="D183" s="6"/>
      <c r="E183" s="6" t="str">
        <f t="shared" si="5"/>
        <v>缺必填</v>
      </c>
    </row>
    <row r="184" spans="1:5" ht="16.05" customHeight="1" x14ac:dyDescent="0.45">
      <c r="A184" s="6"/>
      <c r="B184" s="6"/>
      <c r="C184" s="6"/>
      <c r="D184" s="6"/>
      <c r="E184" s="6" t="str">
        <f t="shared" si="5"/>
        <v>缺必填</v>
      </c>
    </row>
    <row r="185" spans="1:5" ht="16.05" customHeight="1" x14ac:dyDescent="0.45">
      <c r="A185" s="6"/>
      <c r="B185" s="6"/>
      <c r="C185" s="6"/>
      <c r="D185" s="6"/>
      <c r="E185" s="6" t="str">
        <f t="shared" si="5"/>
        <v>缺必填</v>
      </c>
    </row>
    <row r="186" spans="1:5" ht="16.05" customHeight="1" x14ac:dyDescent="0.45">
      <c r="A186" s="6"/>
      <c r="B186" s="6"/>
      <c r="C186" s="6"/>
      <c r="D186" s="6"/>
      <c r="E186" s="6" t="str">
        <f t="shared" si="5"/>
        <v>缺必填</v>
      </c>
    </row>
    <row r="187" spans="1:5" ht="16.05" customHeight="1" x14ac:dyDescent="0.45">
      <c r="A187" s="6"/>
      <c r="B187" s="6"/>
      <c r="C187" s="6"/>
      <c r="D187" s="6"/>
      <c r="E187" s="6" t="str">
        <f t="shared" si="5"/>
        <v>缺必填</v>
      </c>
    </row>
    <row r="188" spans="1:5" ht="16.05" customHeight="1" x14ac:dyDescent="0.45">
      <c r="A188" s="6"/>
      <c r="B188" s="6"/>
      <c r="C188" s="6"/>
      <c r="D188" s="6"/>
      <c r="E188" s="6" t="str">
        <f t="shared" si="5"/>
        <v>缺必填</v>
      </c>
    </row>
    <row r="189" spans="1:5" ht="16.05" customHeight="1" x14ac:dyDescent="0.45">
      <c r="A189" s="6"/>
      <c r="B189" s="6"/>
      <c r="C189" s="6"/>
      <c r="D189" s="6"/>
      <c r="E189" s="6" t="str">
        <f t="shared" si="5"/>
        <v>缺必填</v>
      </c>
    </row>
    <row r="190" spans="1:5" ht="16.05" customHeight="1" x14ac:dyDescent="0.45">
      <c r="A190" s="6"/>
      <c r="B190" s="6"/>
      <c r="C190" s="6"/>
      <c r="D190" s="6"/>
      <c r="E190" s="6" t="str">
        <f t="shared" si="5"/>
        <v>缺必填</v>
      </c>
    </row>
    <row r="191" spans="1:5" ht="16.05" customHeight="1" x14ac:dyDescent="0.45">
      <c r="A191" s="6"/>
      <c r="B191" s="6"/>
      <c r="C191" s="6"/>
      <c r="D191" s="6"/>
      <c r="E191" s="6" t="str">
        <f t="shared" si="5"/>
        <v>缺必填</v>
      </c>
    </row>
    <row r="192" spans="1:5" ht="16.05" customHeight="1" x14ac:dyDescent="0.45">
      <c r="A192" s="6"/>
      <c r="B192" s="6"/>
      <c r="C192" s="6"/>
      <c r="D192" s="6"/>
      <c r="E192" s="6" t="str">
        <f t="shared" si="5"/>
        <v>缺必填</v>
      </c>
    </row>
    <row r="193" spans="1:5" ht="16.05" customHeight="1" x14ac:dyDescent="0.45">
      <c r="A193" s="6"/>
      <c r="B193" s="6"/>
      <c r="C193" s="6"/>
      <c r="D193" s="6"/>
      <c r="E193" s="6" t="str">
        <f t="shared" si="5"/>
        <v>缺必填</v>
      </c>
    </row>
    <row r="194" spans="1:5" ht="16.05" customHeight="1" x14ac:dyDescent="0.45">
      <c r="A194" s="6"/>
      <c r="B194" s="6"/>
      <c r="C194" s="6"/>
      <c r="D194" s="6"/>
      <c r="E194" s="6" t="str">
        <f t="shared" si="5"/>
        <v>缺必填</v>
      </c>
    </row>
    <row r="195" spans="1:5" ht="16.05" customHeight="1" x14ac:dyDescent="0.45">
      <c r="A195" s="6"/>
      <c r="B195" s="6"/>
      <c r="C195" s="6"/>
      <c r="D195" s="6"/>
      <c r="E195" s="6" t="str">
        <f t="shared" si="5"/>
        <v>缺必填</v>
      </c>
    </row>
    <row r="196" spans="1:5" ht="16.05" customHeight="1" x14ac:dyDescent="0.45">
      <c r="A196" s="6"/>
      <c r="B196" s="6"/>
      <c r="C196" s="6"/>
      <c r="D196" s="6"/>
      <c r="E196" s="6" t="str">
        <f t="shared" si="5"/>
        <v>缺必填</v>
      </c>
    </row>
    <row r="197" spans="1:5" ht="16.05" customHeight="1" x14ac:dyDescent="0.45">
      <c r="A197" s="6"/>
      <c r="B197" s="6"/>
      <c r="C197" s="6"/>
      <c r="D197" s="6"/>
      <c r="E197" s="6" t="str">
        <f t="shared" si="5"/>
        <v>缺必填</v>
      </c>
    </row>
    <row r="198" spans="1:5" ht="16.05" customHeight="1" x14ac:dyDescent="0.45">
      <c r="A198" s="6"/>
      <c r="B198" s="6"/>
      <c r="C198" s="6"/>
      <c r="D198" s="6"/>
      <c r="E198" s="6" t="str">
        <f t="shared" ref="E198:E205" si="6">IF((--(A198&lt;&gt;"")+--(B198&lt;&gt;""))=2,"OK","缺必填")</f>
        <v>缺必填</v>
      </c>
    </row>
    <row r="199" spans="1:5" ht="16.05" customHeight="1" x14ac:dyDescent="0.45">
      <c r="A199" s="6"/>
      <c r="B199" s="6"/>
      <c r="C199" s="6"/>
      <c r="D199" s="6"/>
      <c r="E199" s="6" t="str">
        <f t="shared" si="6"/>
        <v>缺必填</v>
      </c>
    </row>
    <row r="200" spans="1:5" ht="16.05" customHeight="1" x14ac:dyDescent="0.45">
      <c r="A200" s="6"/>
      <c r="B200" s="6"/>
      <c r="C200" s="6"/>
      <c r="D200" s="6"/>
      <c r="E200" s="6" t="str">
        <f t="shared" si="6"/>
        <v>缺必填</v>
      </c>
    </row>
    <row r="201" spans="1:5" ht="16.05" customHeight="1" x14ac:dyDescent="0.45">
      <c r="A201" s="6"/>
      <c r="B201" s="6"/>
      <c r="C201" s="6"/>
      <c r="D201" s="6"/>
      <c r="E201" s="6" t="str">
        <f t="shared" si="6"/>
        <v>缺必填</v>
      </c>
    </row>
    <row r="202" spans="1:5" ht="16.05" customHeight="1" x14ac:dyDescent="0.45">
      <c r="A202" s="6"/>
      <c r="B202" s="6"/>
      <c r="C202" s="6"/>
      <c r="D202" s="6"/>
      <c r="E202" s="6" t="str">
        <f t="shared" si="6"/>
        <v>缺必填</v>
      </c>
    </row>
    <row r="203" spans="1:5" ht="16.05" customHeight="1" x14ac:dyDescent="0.45">
      <c r="A203" s="6"/>
      <c r="B203" s="6"/>
      <c r="C203" s="6"/>
      <c r="D203" s="6"/>
      <c r="E203" s="6" t="str">
        <f t="shared" si="6"/>
        <v>缺必填</v>
      </c>
    </row>
    <row r="204" spans="1:5" ht="16.05" customHeight="1" x14ac:dyDescent="0.45">
      <c r="A204" s="6"/>
      <c r="B204" s="6"/>
      <c r="C204" s="6"/>
      <c r="D204" s="6"/>
      <c r="E204" s="6" t="str">
        <f t="shared" si="6"/>
        <v>缺必填</v>
      </c>
    </row>
    <row r="205" spans="1:5" ht="16.05" customHeight="1" x14ac:dyDescent="0.45">
      <c r="A205" s="6"/>
      <c r="B205" s="6"/>
      <c r="C205" s="6"/>
      <c r="D205" s="6"/>
      <c r="E205" s="6" t="str">
        <f t="shared" si="6"/>
        <v>缺必填</v>
      </c>
    </row>
  </sheetData>
  <mergeCells count="2">
    <mergeCell ref="A1:E1"/>
    <mergeCell ref="A2:E2"/>
  </mergeCells>
  <phoneticPr fontId="10" type="noConversion"/>
  <conditionalFormatting sqref="E6:E205">
    <cfRule type="expression" dxfId="5" priority="1">
      <formula>$E6="缺必填"</formula>
    </cfRule>
    <cfRule type="expression" dxfId="4" priority="2">
      <formula>$E6="OK"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1"/>
  <sheetViews>
    <sheetView topLeftCell="A8" workbookViewId="0">
      <selection sqref="A1:J1"/>
    </sheetView>
  </sheetViews>
  <sheetFormatPr defaultRowHeight="14.25" x14ac:dyDescent="0.45"/>
  <cols>
    <col min="1" max="1" width="18" customWidth="1"/>
    <col min="2" max="2" width="34" customWidth="1"/>
    <col min="3" max="3" width="20" customWidth="1"/>
    <col min="4" max="4" width="12" customWidth="1"/>
    <col min="5" max="5" width="10" customWidth="1"/>
    <col min="6" max="6" width="28" customWidth="1"/>
    <col min="7" max="9" width="42" customWidth="1"/>
    <col min="10" max="10" width="24" customWidth="1"/>
  </cols>
  <sheetData>
    <row r="1" spans="1:10" ht="14" customHeight="1" x14ac:dyDescent="0.45">
      <c r="A1" s="8" t="s">
        <v>301</v>
      </c>
      <c r="B1" s="9"/>
      <c r="C1" s="9"/>
      <c r="D1" s="9"/>
      <c r="E1" s="9"/>
      <c r="F1" s="9"/>
      <c r="G1" s="9"/>
      <c r="H1" s="9"/>
      <c r="I1" s="9"/>
      <c r="J1" s="9"/>
    </row>
    <row r="2" spans="1:10" ht="16.05" customHeight="1" x14ac:dyDescent="0.45">
      <c r="A2" s="10" t="s">
        <v>302</v>
      </c>
      <c r="B2" s="9"/>
      <c r="C2" s="9"/>
      <c r="D2" s="9"/>
      <c r="E2" s="9"/>
      <c r="F2" s="9"/>
      <c r="G2" s="9"/>
      <c r="H2" s="9"/>
      <c r="I2" s="9"/>
      <c r="J2" s="9"/>
    </row>
    <row r="4" spans="1:10" ht="18" customHeight="1" x14ac:dyDescent="0.45">
      <c r="A4" s="5" t="s">
        <v>303</v>
      </c>
      <c r="B4" s="5" t="s">
        <v>304</v>
      </c>
      <c r="C4" s="5" t="s">
        <v>305</v>
      </c>
      <c r="D4" s="5" t="s">
        <v>306</v>
      </c>
      <c r="E4" s="5" t="s">
        <v>307</v>
      </c>
      <c r="F4" s="5" t="s">
        <v>308</v>
      </c>
      <c r="G4" s="5" t="s">
        <v>309</v>
      </c>
      <c r="H4" s="5" t="s">
        <v>7</v>
      </c>
      <c r="I4" s="5" t="s">
        <v>310</v>
      </c>
      <c r="J4" s="5" t="s">
        <v>311</v>
      </c>
    </row>
    <row r="5" spans="1:10" x14ac:dyDescent="0.45">
      <c r="A5" s="7" t="s">
        <v>312</v>
      </c>
      <c r="B5" s="7" t="s">
        <v>11</v>
      </c>
      <c r="C5" s="7" t="s">
        <v>313</v>
      </c>
      <c r="D5" s="7" t="s">
        <v>314</v>
      </c>
      <c r="E5" s="7" t="s">
        <v>315</v>
      </c>
      <c r="F5" s="7" t="s">
        <v>316</v>
      </c>
      <c r="G5" s="7" t="s">
        <v>317</v>
      </c>
      <c r="H5" s="7" t="s">
        <v>318</v>
      </c>
      <c r="I5" s="7" t="s">
        <v>319</v>
      </c>
      <c r="J5" s="7" t="s">
        <v>320</v>
      </c>
    </row>
    <row r="6" spans="1:10" ht="23.25" x14ac:dyDescent="0.45">
      <c r="A6" s="7" t="s">
        <v>312</v>
      </c>
      <c r="B6" s="7" t="s">
        <v>16</v>
      </c>
      <c r="C6" s="7" t="s">
        <v>321</v>
      </c>
      <c r="D6" s="7" t="s">
        <v>314</v>
      </c>
      <c r="E6" s="7" t="s">
        <v>315</v>
      </c>
      <c r="F6" s="7" t="s">
        <v>316</v>
      </c>
      <c r="G6" s="7" t="s">
        <v>322</v>
      </c>
      <c r="H6" s="7" t="s">
        <v>323</v>
      </c>
      <c r="I6" s="7" t="s">
        <v>324</v>
      </c>
      <c r="J6" s="7" t="s">
        <v>325</v>
      </c>
    </row>
    <row r="7" spans="1:10" x14ac:dyDescent="0.45">
      <c r="A7" s="7" t="s">
        <v>312</v>
      </c>
      <c r="B7" s="7" t="s">
        <v>21</v>
      </c>
      <c r="C7" s="7" t="s">
        <v>326</v>
      </c>
      <c r="D7" s="7" t="s">
        <v>76</v>
      </c>
      <c r="E7" s="7" t="s">
        <v>315</v>
      </c>
      <c r="F7" s="7" t="s">
        <v>327</v>
      </c>
      <c r="G7" s="7" t="s">
        <v>328</v>
      </c>
      <c r="H7" s="7" t="s">
        <v>329</v>
      </c>
      <c r="I7" s="7" t="s">
        <v>330</v>
      </c>
      <c r="J7" s="7" t="s">
        <v>22</v>
      </c>
    </row>
    <row r="8" spans="1:10" x14ac:dyDescent="0.45">
      <c r="A8" s="7" t="s">
        <v>331</v>
      </c>
      <c r="B8" s="7" t="s">
        <v>80</v>
      </c>
      <c r="C8" s="7" t="s">
        <v>110</v>
      </c>
      <c r="D8" s="7" t="s">
        <v>314</v>
      </c>
      <c r="E8" s="7" t="s">
        <v>332</v>
      </c>
      <c r="F8" s="7" t="s">
        <v>316</v>
      </c>
      <c r="G8" s="7" t="s">
        <v>333</v>
      </c>
      <c r="H8" s="7" t="s">
        <v>334</v>
      </c>
      <c r="I8" s="7" t="s">
        <v>335</v>
      </c>
      <c r="J8" s="7" t="s">
        <v>140</v>
      </c>
    </row>
    <row r="9" spans="1:10" x14ac:dyDescent="0.45">
      <c r="A9" s="7" t="s">
        <v>331</v>
      </c>
      <c r="B9" s="7" t="s">
        <v>82</v>
      </c>
      <c r="C9" s="7" t="s">
        <v>112</v>
      </c>
      <c r="D9" s="7" t="s">
        <v>314</v>
      </c>
      <c r="E9" s="7" t="s">
        <v>332</v>
      </c>
      <c r="F9" s="7" t="s">
        <v>316</v>
      </c>
      <c r="G9" s="7" t="s">
        <v>336</v>
      </c>
      <c r="H9" s="7" t="s">
        <v>337</v>
      </c>
      <c r="I9" s="7" t="s">
        <v>338</v>
      </c>
      <c r="J9" s="7" t="s">
        <v>141</v>
      </c>
    </row>
    <row r="10" spans="1:10" ht="23.25" x14ac:dyDescent="0.45">
      <c r="A10" s="7" t="s">
        <v>331</v>
      </c>
      <c r="B10" s="7" t="s">
        <v>83</v>
      </c>
      <c r="C10" s="7" t="s">
        <v>113</v>
      </c>
      <c r="D10" s="7" t="s">
        <v>314</v>
      </c>
      <c r="E10" s="7" t="s">
        <v>315</v>
      </c>
      <c r="F10" s="7" t="s">
        <v>339</v>
      </c>
      <c r="G10" s="7" t="s">
        <v>340</v>
      </c>
      <c r="H10" s="7" t="s">
        <v>341</v>
      </c>
      <c r="I10" s="7" t="s">
        <v>342</v>
      </c>
      <c r="J10" s="7" t="s">
        <v>117</v>
      </c>
    </row>
    <row r="11" spans="1:10" ht="23.25" x14ac:dyDescent="0.45">
      <c r="A11" s="7" t="s">
        <v>331</v>
      </c>
      <c r="B11" s="7" t="s">
        <v>343</v>
      </c>
      <c r="C11" s="7" t="s">
        <v>344</v>
      </c>
      <c r="D11" s="7" t="s">
        <v>76</v>
      </c>
      <c r="E11" s="7" t="s">
        <v>345</v>
      </c>
      <c r="F11" s="7" t="s">
        <v>346</v>
      </c>
      <c r="G11" s="7" t="s">
        <v>347</v>
      </c>
      <c r="H11" s="7" t="s">
        <v>348</v>
      </c>
      <c r="I11" s="7" t="s">
        <v>349</v>
      </c>
      <c r="J11" s="7" t="s">
        <v>350</v>
      </c>
    </row>
    <row r="12" spans="1:10" ht="23.25" x14ac:dyDescent="0.45">
      <c r="A12" s="7" t="s">
        <v>331</v>
      </c>
      <c r="B12" s="7" t="s">
        <v>91</v>
      </c>
      <c r="C12" s="7" t="s">
        <v>121</v>
      </c>
      <c r="D12" s="7" t="s">
        <v>314</v>
      </c>
      <c r="E12" s="7" t="s">
        <v>315</v>
      </c>
      <c r="F12" s="7" t="s">
        <v>351</v>
      </c>
      <c r="G12" s="7" t="s">
        <v>352</v>
      </c>
      <c r="H12" s="7" t="s">
        <v>353</v>
      </c>
      <c r="I12" s="7" t="s">
        <v>354</v>
      </c>
      <c r="J12" s="7" t="s">
        <v>142</v>
      </c>
    </row>
    <row r="13" spans="1:10" x14ac:dyDescent="0.45">
      <c r="A13" s="7" t="s">
        <v>331</v>
      </c>
      <c r="B13" s="7" t="s">
        <v>92</v>
      </c>
      <c r="C13" s="7" t="s">
        <v>122</v>
      </c>
      <c r="D13" s="7" t="s">
        <v>314</v>
      </c>
      <c r="E13" s="7" t="s">
        <v>355</v>
      </c>
      <c r="F13" s="7" t="s">
        <v>316</v>
      </c>
      <c r="G13" s="7" t="s">
        <v>356</v>
      </c>
      <c r="H13" s="7" t="s">
        <v>357</v>
      </c>
      <c r="I13" s="7" t="s">
        <v>358</v>
      </c>
      <c r="J13" s="7" t="s">
        <v>143</v>
      </c>
    </row>
    <row r="14" spans="1:10" x14ac:dyDescent="0.45">
      <c r="A14" s="7" t="s">
        <v>331</v>
      </c>
      <c r="B14" s="7" t="s">
        <v>93</v>
      </c>
      <c r="C14" s="7" t="s">
        <v>123</v>
      </c>
      <c r="D14" s="7" t="s">
        <v>76</v>
      </c>
      <c r="E14" s="7" t="s">
        <v>345</v>
      </c>
      <c r="F14" s="7" t="s">
        <v>316</v>
      </c>
      <c r="G14" s="7" t="s">
        <v>359</v>
      </c>
      <c r="H14" s="7" t="s">
        <v>360</v>
      </c>
      <c r="I14" s="7" t="s">
        <v>361</v>
      </c>
      <c r="J14" s="7" t="s">
        <v>144</v>
      </c>
    </row>
    <row r="15" spans="1:10" x14ac:dyDescent="0.45">
      <c r="A15" s="7" t="s">
        <v>331</v>
      </c>
      <c r="B15" s="7" t="s">
        <v>94</v>
      </c>
      <c r="C15" s="7" t="s">
        <v>124</v>
      </c>
      <c r="D15" s="7" t="s">
        <v>76</v>
      </c>
      <c r="E15" s="7" t="s">
        <v>355</v>
      </c>
      <c r="F15" s="7" t="s">
        <v>316</v>
      </c>
      <c r="G15" s="7" t="s">
        <v>362</v>
      </c>
      <c r="H15" s="7" t="s">
        <v>363</v>
      </c>
      <c r="I15" s="7" t="s">
        <v>364</v>
      </c>
      <c r="J15" s="7" t="s">
        <v>145</v>
      </c>
    </row>
    <row r="16" spans="1:10" x14ac:dyDescent="0.45">
      <c r="A16" s="7" t="s">
        <v>331</v>
      </c>
      <c r="B16" s="7" t="s">
        <v>95</v>
      </c>
      <c r="C16" s="7" t="s">
        <v>125</v>
      </c>
      <c r="D16" s="7" t="s">
        <v>76</v>
      </c>
      <c r="E16" s="7" t="s">
        <v>345</v>
      </c>
      <c r="F16" s="7" t="s">
        <v>316</v>
      </c>
      <c r="G16" s="7" t="s">
        <v>365</v>
      </c>
      <c r="H16" s="7" t="s">
        <v>366</v>
      </c>
      <c r="I16" s="7" t="s">
        <v>367</v>
      </c>
      <c r="J16" s="7" t="s">
        <v>146</v>
      </c>
    </row>
    <row r="17" spans="1:10" x14ac:dyDescent="0.45">
      <c r="A17" s="7" t="s">
        <v>331</v>
      </c>
      <c r="B17" s="7" t="s">
        <v>96</v>
      </c>
      <c r="C17" s="7" t="s">
        <v>126</v>
      </c>
      <c r="D17" s="7" t="s">
        <v>76</v>
      </c>
      <c r="E17" s="7" t="s">
        <v>345</v>
      </c>
      <c r="F17" s="7" t="s">
        <v>316</v>
      </c>
      <c r="G17" s="7" t="s">
        <v>368</v>
      </c>
      <c r="H17" s="7" t="s">
        <v>369</v>
      </c>
      <c r="I17" s="7" t="s">
        <v>370</v>
      </c>
      <c r="J17" s="7" t="s">
        <v>147</v>
      </c>
    </row>
    <row r="18" spans="1:10" x14ac:dyDescent="0.45">
      <c r="A18" s="7" t="s">
        <v>331</v>
      </c>
      <c r="B18" s="7" t="s">
        <v>97</v>
      </c>
      <c r="C18" s="7" t="s">
        <v>127</v>
      </c>
      <c r="D18" s="7" t="s">
        <v>314</v>
      </c>
      <c r="E18" s="7" t="s">
        <v>315</v>
      </c>
      <c r="F18" s="7" t="s">
        <v>371</v>
      </c>
      <c r="G18" s="7" t="s">
        <v>372</v>
      </c>
      <c r="H18" s="7" t="s">
        <v>373</v>
      </c>
      <c r="I18" s="7" t="s">
        <v>374</v>
      </c>
      <c r="J18" s="7" t="s">
        <v>148</v>
      </c>
    </row>
    <row r="19" spans="1:10" x14ac:dyDescent="0.45">
      <c r="A19" s="7" t="s">
        <v>331</v>
      </c>
      <c r="B19" s="7" t="s">
        <v>98</v>
      </c>
      <c r="C19" s="7" t="s">
        <v>128</v>
      </c>
      <c r="D19" s="7" t="s">
        <v>76</v>
      </c>
      <c r="E19" s="7" t="s">
        <v>315</v>
      </c>
      <c r="F19" s="7" t="s">
        <v>375</v>
      </c>
      <c r="G19" s="7" t="s">
        <v>376</v>
      </c>
      <c r="H19" s="7" t="s">
        <v>377</v>
      </c>
      <c r="I19" s="7" t="s">
        <v>378</v>
      </c>
      <c r="J19" s="7" t="s">
        <v>149</v>
      </c>
    </row>
    <row r="20" spans="1:10" x14ac:dyDescent="0.45">
      <c r="A20" s="7" t="s">
        <v>331</v>
      </c>
      <c r="B20" s="7" t="s">
        <v>99</v>
      </c>
      <c r="C20" s="7" t="s">
        <v>129</v>
      </c>
      <c r="D20" s="7" t="s">
        <v>76</v>
      </c>
      <c r="E20" s="7" t="s">
        <v>315</v>
      </c>
      <c r="F20" s="7" t="s">
        <v>375</v>
      </c>
      <c r="G20" s="7" t="s">
        <v>379</v>
      </c>
      <c r="H20" s="7" t="s">
        <v>380</v>
      </c>
      <c r="I20" s="7" t="s">
        <v>381</v>
      </c>
      <c r="J20" s="7" t="s">
        <v>150</v>
      </c>
    </row>
    <row r="21" spans="1:10" ht="23.25" x14ac:dyDescent="0.45">
      <c r="A21" s="7" t="s">
        <v>331</v>
      </c>
      <c r="B21" s="7" t="s">
        <v>100</v>
      </c>
      <c r="C21" s="7" t="s">
        <v>130</v>
      </c>
      <c r="D21" s="7" t="s">
        <v>382</v>
      </c>
      <c r="E21" s="7" t="s">
        <v>383</v>
      </c>
      <c r="F21" s="7" t="s">
        <v>316</v>
      </c>
      <c r="G21" s="7" t="s">
        <v>384</v>
      </c>
      <c r="H21" s="7" t="s">
        <v>385</v>
      </c>
      <c r="I21" s="7" t="s">
        <v>386</v>
      </c>
      <c r="J21" s="7" t="s">
        <v>151</v>
      </c>
    </row>
    <row r="22" spans="1:10" ht="23.25" x14ac:dyDescent="0.45">
      <c r="A22" s="7" t="s">
        <v>331</v>
      </c>
      <c r="B22" s="7" t="s">
        <v>101</v>
      </c>
      <c r="C22" s="7" t="s">
        <v>131</v>
      </c>
      <c r="D22" s="7" t="s">
        <v>382</v>
      </c>
      <c r="E22" s="7" t="s">
        <v>315</v>
      </c>
      <c r="F22" s="7" t="s">
        <v>387</v>
      </c>
      <c r="G22" s="7" t="s">
        <v>388</v>
      </c>
      <c r="H22" s="7" t="s">
        <v>389</v>
      </c>
      <c r="I22" s="7" t="s">
        <v>390</v>
      </c>
      <c r="J22" s="7" t="s">
        <v>152</v>
      </c>
    </row>
    <row r="23" spans="1:10" ht="23.25" x14ac:dyDescent="0.45">
      <c r="A23" s="7" t="s">
        <v>331</v>
      </c>
      <c r="B23" s="7" t="s">
        <v>102</v>
      </c>
      <c r="C23" s="7" t="s">
        <v>132</v>
      </c>
      <c r="D23" s="7" t="s">
        <v>314</v>
      </c>
      <c r="E23" s="7" t="s">
        <v>315</v>
      </c>
      <c r="F23" s="7" t="s">
        <v>375</v>
      </c>
      <c r="G23" s="7" t="s">
        <v>391</v>
      </c>
      <c r="H23" s="7" t="s">
        <v>392</v>
      </c>
      <c r="I23" s="7" t="s">
        <v>393</v>
      </c>
      <c r="J23" s="7" t="s">
        <v>153</v>
      </c>
    </row>
    <row r="24" spans="1:10" ht="23.25" x14ac:dyDescent="0.45">
      <c r="A24" s="7" t="s">
        <v>394</v>
      </c>
      <c r="B24" s="7" t="s">
        <v>395</v>
      </c>
      <c r="C24" s="7" t="s">
        <v>396</v>
      </c>
      <c r="D24" s="7" t="s">
        <v>397</v>
      </c>
      <c r="E24" s="7" t="s">
        <v>345</v>
      </c>
      <c r="F24" s="7" t="s">
        <v>316</v>
      </c>
      <c r="G24" s="7" t="s">
        <v>398</v>
      </c>
      <c r="H24" s="7" t="s">
        <v>399</v>
      </c>
      <c r="I24" s="7" t="s">
        <v>400</v>
      </c>
      <c r="J24" s="7"/>
    </row>
    <row r="25" spans="1:10" ht="23.25" x14ac:dyDescent="0.45">
      <c r="A25" s="7" t="s">
        <v>394</v>
      </c>
      <c r="B25" s="7" t="s">
        <v>103</v>
      </c>
      <c r="C25" s="7" t="s">
        <v>133</v>
      </c>
      <c r="D25" s="7" t="s">
        <v>397</v>
      </c>
      <c r="E25" s="7" t="s">
        <v>345</v>
      </c>
      <c r="F25" s="7" t="s">
        <v>316</v>
      </c>
      <c r="G25" s="7" t="s">
        <v>401</v>
      </c>
      <c r="H25" s="7" t="s">
        <v>402</v>
      </c>
      <c r="I25" s="7" t="s">
        <v>403</v>
      </c>
      <c r="J25" s="7" t="s">
        <v>154</v>
      </c>
    </row>
    <row r="26" spans="1:10" x14ac:dyDescent="0.45">
      <c r="A26" s="7" t="s">
        <v>394</v>
      </c>
      <c r="B26" s="7" t="s">
        <v>171</v>
      </c>
      <c r="C26" s="7" t="s">
        <v>404</v>
      </c>
      <c r="D26" s="7" t="s">
        <v>76</v>
      </c>
      <c r="E26" s="7" t="s">
        <v>345</v>
      </c>
      <c r="F26" s="7" t="s">
        <v>316</v>
      </c>
      <c r="G26" s="7" t="s">
        <v>405</v>
      </c>
      <c r="H26" s="7" t="s">
        <v>406</v>
      </c>
      <c r="I26" s="7" t="s">
        <v>407</v>
      </c>
      <c r="J26" s="7"/>
    </row>
    <row r="27" spans="1:10" x14ac:dyDescent="0.45">
      <c r="A27" s="7" t="s">
        <v>394</v>
      </c>
      <c r="B27" s="7" t="s">
        <v>172</v>
      </c>
      <c r="C27" s="7" t="s">
        <v>185</v>
      </c>
      <c r="D27" s="7" t="s">
        <v>382</v>
      </c>
      <c r="E27" s="7" t="s">
        <v>408</v>
      </c>
      <c r="F27" s="7" t="s">
        <v>316</v>
      </c>
      <c r="G27" s="7" t="s">
        <v>409</v>
      </c>
      <c r="H27" s="7" t="s">
        <v>410</v>
      </c>
      <c r="I27" s="7" t="s">
        <v>411</v>
      </c>
      <c r="J27" s="7" t="s">
        <v>196</v>
      </c>
    </row>
    <row r="28" spans="1:10" x14ac:dyDescent="0.45">
      <c r="A28" s="7" t="s">
        <v>394</v>
      </c>
      <c r="B28" s="7" t="s">
        <v>173</v>
      </c>
      <c r="C28" s="7" t="s">
        <v>412</v>
      </c>
      <c r="D28" s="7" t="s">
        <v>382</v>
      </c>
      <c r="E28" s="7" t="s">
        <v>408</v>
      </c>
      <c r="F28" s="7" t="s">
        <v>316</v>
      </c>
      <c r="G28" s="7" t="s">
        <v>413</v>
      </c>
      <c r="H28" s="7" t="s">
        <v>414</v>
      </c>
      <c r="I28" s="7" t="s">
        <v>415</v>
      </c>
      <c r="J28" s="7" t="s">
        <v>197</v>
      </c>
    </row>
    <row r="29" spans="1:10" x14ac:dyDescent="0.45">
      <c r="A29" s="7" t="s">
        <v>394</v>
      </c>
      <c r="B29" s="7" t="s">
        <v>174</v>
      </c>
      <c r="C29" s="7" t="s">
        <v>416</v>
      </c>
      <c r="D29" s="7" t="s">
        <v>417</v>
      </c>
      <c r="E29" s="7" t="s">
        <v>408</v>
      </c>
      <c r="F29" s="7" t="s">
        <v>316</v>
      </c>
      <c r="G29" s="7" t="s">
        <v>418</v>
      </c>
      <c r="H29" s="7" t="s">
        <v>419</v>
      </c>
      <c r="I29" s="7" t="s">
        <v>420</v>
      </c>
      <c r="J29" s="7"/>
    </row>
    <row r="30" spans="1:10" x14ac:dyDescent="0.45">
      <c r="A30" s="7" t="s">
        <v>394</v>
      </c>
      <c r="B30" s="7" t="s">
        <v>175</v>
      </c>
      <c r="C30" s="7" t="s">
        <v>188</v>
      </c>
      <c r="D30" s="7" t="s">
        <v>417</v>
      </c>
      <c r="E30" s="7" t="s">
        <v>421</v>
      </c>
      <c r="F30" s="7" t="s">
        <v>316</v>
      </c>
      <c r="G30" s="7" t="s">
        <v>422</v>
      </c>
      <c r="H30" s="7" t="s">
        <v>423</v>
      </c>
      <c r="I30" s="7" t="s">
        <v>424</v>
      </c>
      <c r="J30" s="7" t="s">
        <v>425</v>
      </c>
    </row>
    <row r="31" spans="1:10" x14ac:dyDescent="0.45">
      <c r="A31" s="7" t="s">
        <v>394</v>
      </c>
      <c r="B31" s="7" t="s">
        <v>176</v>
      </c>
      <c r="C31" s="7" t="s">
        <v>426</v>
      </c>
      <c r="D31" s="7" t="s">
        <v>382</v>
      </c>
      <c r="E31" s="7" t="s">
        <v>345</v>
      </c>
      <c r="F31" s="7" t="s">
        <v>316</v>
      </c>
      <c r="G31" s="7" t="s">
        <v>427</v>
      </c>
      <c r="H31" s="7" t="s">
        <v>410</v>
      </c>
      <c r="I31" s="7" t="s">
        <v>428</v>
      </c>
      <c r="J31" s="7" t="s">
        <v>198</v>
      </c>
    </row>
    <row r="32" spans="1:10" x14ac:dyDescent="0.45">
      <c r="A32" s="7" t="s">
        <v>394</v>
      </c>
      <c r="B32" s="7" t="s">
        <v>177</v>
      </c>
      <c r="C32" s="7" t="s">
        <v>429</v>
      </c>
      <c r="D32" s="7" t="s">
        <v>382</v>
      </c>
      <c r="E32" s="7" t="s">
        <v>408</v>
      </c>
      <c r="F32" s="7" t="s">
        <v>316</v>
      </c>
      <c r="G32" s="7" t="s">
        <v>430</v>
      </c>
      <c r="H32" s="7" t="s">
        <v>410</v>
      </c>
      <c r="I32" s="7" t="s">
        <v>431</v>
      </c>
      <c r="J32" s="7" t="s">
        <v>198</v>
      </c>
    </row>
    <row r="33" spans="1:10" x14ac:dyDescent="0.45">
      <c r="A33" s="7" t="s">
        <v>394</v>
      </c>
      <c r="B33" s="7" t="s">
        <v>178</v>
      </c>
      <c r="C33" s="7" t="s">
        <v>432</v>
      </c>
      <c r="D33" s="7" t="s">
        <v>382</v>
      </c>
      <c r="E33" s="7" t="s">
        <v>345</v>
      </c>
      <c r="F33" s="7" t="s">
        <v>316</v>
      </c>
      <c r="G33" s="7" t="s">
        <v>433</v>
      </c>
      <c r="H33" s="7" t="s">
        <v>434</v>
      </c>
      <c r="I33" s="7" t="s">
        <v>435</v>
      </c>
      <c r="J33" s="7" t="s">
        <v>199</v>
      </c>
    </row>
    <row r="34" spans="1:10" x14ac:dyDescent="0.45">
      <c r="A34" s="7" t="s">
        <v>394</v>
      </c>
      <c r="B34" s="7" t="s">
        <v>179</v>
      </c>
      <c r="C34" s="7" t="s">
        <v>436</v>
      </c>
      <c r="D34" s="7" t="s">
        <v>382</v>
      </c>
      <c r="E34" s="7" t="s">
        <v>421</v>
      </c>
      <c r="F34" s="7" t="s">
        <v>316</v>
      </c>
      <c r="G34" s="7" t="s">
        <v>437</v>
      </c>
      <c r="H34" s="7" t="s">
        <v>423</v>
      </c>
      <c r="I34" s="7" t="s">
        <v>438</v>
      </c>
      <c r="J34" s="7" t="s">
        <v>200</v>
      </c>
    </row>
    <row r="35" spans="1:10" x14ac:dyDescent="0.45">
      <c r="A35" s="7" t="s">
        <v>394</v>
      </c>
      <c r="B35" s="7" t="s">
        <v>180</v>
      </c>
      <c r="C35" s="7" t="s">
        <v>439</v>
      </c>
      <c r="D35" s="7" t="s">
        <v>382</v>
      </c>
      <c r="E35" s="7" t="s">
        <v>383</v>
      </c>
      <c r="F35" s="7" t="s">
        <v>316</v>
      </c>
      <c r="G35" s="7" t="s">
        <v>440</v>
      </c>
      <c r="H35" s="7" t="s">
        <v>441</v>
      </c>
      <c r="I35" s="7" t="s">
        <v>442</v>
      </c>
      <c r="J35" s="7" t="s">
        <v>201</v>
      </c>
    </row>
    <row r="36" spans="1:10" x14ac:dyDescent="0.45">
      <c r="A36" s="7" t="s">
        <v>394</v>
      </c>
      <c r="B36" s="7" t="s">
        <v>181</v>
      </c>
      <c r="C36" s="7" t="s">
        <v>443</v>
      </c>
      <c r="D36" s="7" t="s">
        <v>382</v>
      </c>
      <c r="E36" s="7" t="s">
        <v>345</v>
      </c>
      <c r="F36" s="7" t="s">
        <v>444</v>
      </c>
      <c r="G36" s="7" t="s">
        <v>445</v>
      </c>
      <c r="H36" s="7" t="s">
        <v>446</v>
      </c>
      <c r="I36" s="7" t="s">
        <v>447</v>
      </c>
      <c r="J36" s="7" t="s">
        <v>202</v>
      </c>
    </row>
    <row r="37" spans="1:10" ht="23.25" x14ac:dyDescent="0.45">
      <c r="A37" s="7" t="s">
        <v>448</v>
      </c>
      <c r="B37" s="7" t="s">
        <v>221</v>
      </c>
      <c r="C37" s="7" t="s">
        <v>243</v>
      </c>
      <c r="D37" s="7" t="s">
        <v>314</v>
      </c>
      <c r="E37" s="7" t="s">
        <v>315</v>
      </c>
      <c r="F37" s="7" t="s">
        <v>449</v>
      </c>
      <c r="G37" s="7" t="s">
        <v>450</v>
      </c>
      <c r="H37" s="7" t="s">
        <v>451</v>
      </c>
      <c r="I37" s="7" t="s">
        <v>452</v>
      </c>
      <c r="J37" s="7" t="s">
        <v>253</v>
      </c>
    </row>
    <row r="38" spans="1:10" x14ac:dyDescent="0.45">
      <c r="A38" s="7" t="s">
        <v>448</v>
      </c>
      <c r="B38" s="7" t="s">
        <v>222</v>
      </c>
      <c r="C38" s="7" t="s">
        <v>244</v>
      </c>
      <c r="D38" s="7" t="s">
        <v>382</v>
      </c>
      <c r="E38" s="7" t="s">
        <v>315</v>
      </c>
      <c r="F38" s="7" t="s">
        <v>453</v>
      </c>
      <c r="G38" s="7" t="s">
        <v>454</v>
      </c>
      <c r="H38" s="7" t="s">
        <v>455</v>
      </c>
      <c r="I38" s="7" t="s">
        <v>456</v>
      </c>
      <c r="J38" s="7" t="s">
        <v>457</v>
      </c>
    </row>
    <row r="39" spans="1:10" x14ac:dyDescent="0.45">
      <c r="A39" s="7" t="s">
        <v>448</v>
      </c>
      <c r="B39" s="7" t="s">
        <v>458</v>
      </c>
      <c r="C39" s="7" t="s">
        <v>459</v>
      </c>
      <c r="D39" s="7" t="s">
        <v>382</v>
      </c>
      <c r="E39" s="7" t="s">
        <v>345</v>
      </c>
      <c r="F39" s="7" t="s">
        <v>316</v>
      </c>
      <c r="G39" s="7" t="s">
        <v>460</v>
      </c>
      <c r="H39" s="7" t="s">
        <v>461</v>
      </c>
      <c r="I39" s="7" t="s">
        <v>462</v>
      </c>
      <c r="J39" s="7"/>
    </row>
    <row r="40" spans="1:10" x14ac:dyDescent="0.45">
      <c r="A40" s="7" t="s">
        <v>448</v>
      </c>
      <c r="B40" s="7" t="s">
        <v>463</v>
      </c>
      <c r="C40" s="7" t="s">
        <v>241</v>
      </c>
      <c r="D40" s="7" t="s">
        <v>382</v>
      </c>
      <c r="E40" s="7" t="s">
        <v>345</v>
      </c>
      <c r="F40" s="7" t="s">
        <v>316</v>
      </c>
      <c r="G40" s="7" t="s">
        <v>464</v>
      </c>
      <c r="H40" s="7" t="s">
        <v>465</v>
      </c>
      <c r="I40" s="7" t="s">
        <v>466</v>
      </c>
      <c r="J40" s="7" t="s">
        <v>252</v>
      </c>
    </row>
    <row r="41" spans="1:10" x14ac:dyDescent="0.45">
      <c r="A41" s="7" t="s">
        <v>448</v>
      </c>
      <c r="B41" s="7" t="s">
        <v>224</v>
      </c>
      <c r="C41" s="7" t="s">
        <v>245</v>
      </c>
      <c r="D41" s="7" t="s">
        <v>382</v>
      </c>
      <c r="E41" s="7" t="s">
        <v>408</v>
      </c>
      <c r="F41" s="7" t="s">
        <v>316</v>
      </c>
      <c r="G41" s="7" t="s">
        <v>467</v>
      </c>
      <c r="H41" s="7" t="s">
        <v>468</v>
      </c>
      <c r="I41" s="7" t="s">
        <v>469</v>
      </c>
      <c r="J41" s="7" t="s">
        <v>254</v>
      </c>
    </row>
    <row r="42" spans="1:10" x14ac:dyDescent="0.45">
      <c r="A42" s="7" t="s">
        <v>448</v>
      </c>
      <c r="B42" s="7" t="s">
        <v>225</v>
      </c>
      <c r="C42" s="7" t="s">
        <v>470</v>
      </c>
      <c r="D42" s="7" t="s">
        <v>382</v>
      </c>
      <c r="E42" s="7" t="s">
        <v>408</v>
      </c>
      <c r="F42" s="7" t="s">
        <v>316</v>
      </c>
      <c r="G42" s="7" t="s">
        <v>471</v>
      </c>
      <c r="H42" s="7" t="s">
        <v>468</v>
      </c>
      <c r="I42" s="7" t="s">
        <v>428</v>
      </c>
      <c r="J42" s="7" t="s">
        <v>255</v>
      </c>
    </row>
    <row r="43" spans="1:10" x14ac:dyDescent="0.45">
      <c r="A43" s="7" t="s">
        <v>448</v>
      </c>
      <c r="B43" s="7" t="s">
        <v>226</v>
      </c>
      <c r="C43" s="7" t="s">
        <v>472</v>
      </c>
      <c r="D43" s="7" t="s">
        <v>417</v>
      </c>
      <c r="E43" s="7" t="s">
        <v>408</v>
      </c>
      <c r="F43" s="7" t="s">
        <v>316</v>
      </c>
      <c r="G43" s="7" t="s">
        <v>473</v>
      </c>
      <c r="H43" s="7" t="s">
        <v>419</v>
      </c>
      <c r="I43" s="7" t="s">
        <v>315</v>
      </c>
      <c r="J43" s="7"/>
    </row>
    <row r="44" spans="1:10" x14ac:dyDescent="0.45">
      <c r="A44" s="7" t="s">
        <v>448</v>
      </c>
      <c r="B44" s="7" t="s">
        <v>227</v>
      </c>
      <c r="C44" s="7" t="s">
        <v>474</v>
      </c>
      <c r="D44" s="7" t="s">
        <v>417</v>
      </c>
      <c r="E44" s="7" t="s">
        <v>421</v>
      </c>
      <c r="F44" s="7" t="s">
        <v>316</v>
      </c>
      <c r="G44" s="7" t="s">
        <v>475</v>
      </c>
      <c r="H44" s="7" t="s">
        <v>476</v>
      </c>
      <c r="I44" s="7" t="s">
        <v>315</v>
      </c>
      <c r="J44" s="7" t="s">
        <v>477</v>
      </c>
    </row>
    <row r="45" spans="1:10" x14ac:dyDescent="0.45">
      <c r="A45" s="7" t="s">
        <v>448</v>
      </c>
      <c r="B45" s="7" t="s">
        <v>228</v>
      </c>
      <c r="C45" s="7" t="s">
        <v>478</v>
      </c>
      <c r="D45" s="7" t="s">
        <v>382</v>
      </c>
      <c r="E45" s="7" t="s">
        <v>345</v>
      </c>
      <c r="F45" s="7" t="s">
        <v>316</v>
      </c>
      <c r="G45" s="7" t="s">
        <v>479</v>
      </c>
      <c r="H45" s="7" t="s">
        <v>468</v>
      </c>
      <c r="I45" s="7" t="s">
        <v>428</v>
      </c>
      <c r="J45" s="7" t="s">
        <v>198</v>
      </c>
    </row>
    <row r="46" spans="1:10" x14ac:dyDescent="0.45">
      <c r="A46" s="7" t="s">
        <v>448</v>
      </c>
      <c r="B46" s="7" t="s">
        <v>229</v>
      </c>
      <c r="C46" s="7" t="s">
        <v>480</v>
      </c>
      <c r="D46" s="7" t="s">
        <v>382</v>
      </c>
      <c r="E46" s="7" t="s">
        <v>408</v>
      </c>
      <c r="F46" s="7" t="s">
        <v>316</v>
      </c>
      <c r="G46" s="7" t="s">
        <v>481</v>
      </c>
      <c r="H46" s="7" t="s">
        <v>468</v>
      </c>
      <c r="I46" s="7" t="s">
        <v>428</v>
      </c>
      <c r="J46" s="7" t="s">
        <v>198</v>
      </c>
    </row>
    <row r="47" spans="1:10" x14ac:dyDescent="0.45">
      <c r="A47" s="7" t="s">
        <v>448</v>
      </c>
      <c r="B47" s="7" t="s">
        <v>230</v>
      </c>
      <c r="C47" s="7" t="s">
        <v>482</v>
      </c>
      <c r="D47" s="7" t="s">
        <v>382</v>
      </c>
      <c r="E47" s="7" t="s">
        <v>345</v>
      </c>
      <c r="F47" s="7" t="s">
        <v>316</v>
      </c>
      <c r="G47" s="7" t="s">
        <v>483</v>
      </c>
      <c r="H47" s="7" t="s">
        <v>468</v>
      </c>
      <c r="I47" s="7" t="s">
        <v>484</v>
      </c>
      <c r="J47" s="7" t="s">
        <v>199</v>
      </c>
    </row>
    <row r="48" spans="1:10" x14ac:dyDescent="0.45">
      <c r="A48" s="7" t="s">
        <v>448</v>
      </c>
      <c r="B48" s="7" t="s">
        <v>231</v>
      </c>
      <c r="C48" s="7" t="s">
        <v>485</v>
      </c>
      <c r="D48" s="7" t="s">
        <v>382</v>
      </c>
      <c r="E48" s="7" t="s">
        <v>421</v>
      </c>
      <c r="F48" s="7" t="s">
        <v>316</v>
      </c>
      <c r="G48" s="7" t="s">
        <v>486</v>
      </c>
      <c r="H48" s="7" t="s">
        <v>476</v>
      </c>
      <c r="I48" s="7" t="s">
        <v>487</v>
      </c>
      <c r="J48" s="7" t="s">
        <v>200</v>
      </c>
    </row>
    <row r="49" spans="1:10" x14ac:dyDescent="0.45">
      <c r="A49" s="7" t="s">
        <v>448</v>
      </c>
      <c r="B49" s="7" t="s">
        <v>232</v>
      </c>
      <c r="C49" s="7" t="s">
        <v>488</v>
      </c>
      <c r="D49" s="7" t="s">
        <v>382</v>
      </c>
      <c r="E49" s="7" t="s">
        <v>383</v>
      </c>
      <c r="F49" s="7" t="s">
        <v>316</v>
      </c>
      <c r="G49" s="7" t="s">
        <v>489</v>
      </c>
      <c r="H49" s="7" t="s">
        <v>468</v>
      </c>
      <c r="I49" s="7" t="s">
        <v>315</v>
      </c>
      <c r="J49" s="7" t="s">
        <v>201</v>
      </c>
    </row>
    <row r="50" spans="1:10" x14ac:dyDescent="0.45">
      <c r="A50" s="7" t="s">
        <v>448</v>
      </c>
      <c r="B50" s="7" t="s">
        <v>233</v>
      </c>
      <c r="C50" s="7" t="s">
        <v>490</v>
      </c>
      <c r="D50" s="7" t="s">
        <v>382</v>
      </c>
      <c r="E50" s="7" t="s">
        <v>345</v>
      </c>
      <c r="F50" s="7" t="s">
        <v>444</v>
      </c>
      <c r="G50" s="7" t="s">
        <v>491</v>
      </c>
      <c r="H50" s="7" t="s">
        <v>492</v>
      </c>
      <c r="I50" s="7" t="s">
        <v>315</v>
      </c>
      <c r="J50" s="7" t="s">
        <v>256</v>
      </c>
    </row>
    <row r="51" spans="1:10" ht="23.25" x14ac:dyDescent="0.45">
      <c r="A51" s="7" t="s">
        <v>448</v>
      </c>
      <c r="B51" s="7" t="s">
        <v>234</v>
      </c>
      <c r="C51" s="7" t="s">
        <v>246</v>
      </c>
      <c r="D51" s="7" t="s">
        <v>314</v>
      </c>
      <c r="E51" s="7" t="s">
        <v>315</v>
      </c>
      <c r="F51" s="7" t="s">
        <v>346</v>
      </c>
      <c r="G51" s="7" t="s">
        <v>493</v>
      </c>
      <c r="H51" s="7" t="s">
        <v>494</v>
      </c>
      <c r="I51" s="7" t="s">
        <v>495</v>
      </c>
      <c r="J51" s="7" t="s">
        <v>257</v>
      </c>
    </row>
    <row r="52" spans="1:10" x14ac:dyDescent="0.45">
      <c r="A52" s="7" t="s">
        <v>448</v>
      </c>
      <c r="B52" s="7" t="s">
        <v>235</v>
      </c>
      <c r="C52" s="7" t="s">
        <v>247</v>
      </c>
      <c r="D52" s="7" t="s">
        <v>76</v>
      </c>
      <c r="E52" s="7" t="s">
        <v>496</v>
      </c>
      <c r="F52" s="7" t="s">
        <v>316</v>
      </c>
      <c r="G52" s="7" t="s">
        <v>497</v>
      </c>
      <c r="H52" s="7" t="s">
        <v>498</v>
      </c>
      <c r="I52" s="7" t="s">
        <v>499</v>
      </c>
      <c r="J52" s="7" t="s">
        <v>258</v>
      </c>
    </row>
    <row r="53" spans="1:10" x14ac:dyDescent="0.45">
      <c r="A53" s="7" t="s">
        <v>448</v>
      </c>
      <c r="B53" s="7" t="s">
        <v>236</v>
      </c>
      <c r="C53" s="7" t="s">
        <v>248</v>
      </c>
      <c r="D53" s="7" t="s">
        <v>76</v>
      </c>
      <c r="E53" s="7" t="s">
        <v>496</v>
      </c>
      <c r="F53" s="7" t="s">
        <v>500</v>
      </c>
      <c r="G53" s="7" t="s">
        <v>501</v>
      </c>
      <c r="H53" s="7" t="s">
        <v>502</v>
      </c>
      <c r="I53" s="7" t="s">
        <v>503</v>
      </c>
      <c r="J53" s="7" t="s">
        <v>259</v>
      </c>
    </row>
    <row r="54" spans="1:10" x14ac:dyDescent="0.45">
      <c r="A54" s="7" t="s">
        <v>448</v>
      </c>
      <c r="B54" s="7" t="s">
        <v>237</v>
      </c>
      <c r="C54" s="7" t="s">
        <v>249</v>
      </c>
      <c r="D54" s="7" t="s">
        <v>76</v>
      </c>
      <c r="E54" s="7" t="s">
        <v>496</v>
      </c>
      <c r="F54" s="7" t="s">
        <v>316</v>
      </c>
      <c r="G54" s="7" t="s">
        <v>504</v>
      </c>
      <c r="H54" s="7" t="s">
        <v>505</v>
      </c>
      <c r="I54" s="7" t="s">
        <v>506</v>
      </c>
      <c r="J54" s="7" t="s">
        <v>260</v>
      </c>
    </row>
    <row r="55" spans="1:10" x14ac:dyDescent="0.45">
      <c r="A55" s="7" t="s">
        <v>448</v>
      </c>
      <c r="B55" s="7" t="s">
        <v>238</v>
      </c>
      <c r="C55" s="7" t="s">
        <v>250</v>
      </c>
      <c r="D55" s="7" t="s">
        <v>76</v>
      </c>
      <c r="E55" s="7" t="s">
        <v>315</v>
      </c>
      <c r="F55" s="7" t="s">
        <v>507</v>
      </c>
      <c r="G55" s="7" t="s">
        <v>508</v>
      </c>
      <c r="H55" s="7" t="s">
        <v>509</v>
      </c>
      <c r="I55" s="7" t="s">
        <v>510</v>
      </c>
      <c r="J55" s="7" t="s">
        <v>22</v>
      </c>
    </row>
    <row r="56" spans="1:10" x14ac:dyDescent="0.45">
      <c r="A56" s="7" t="s">
        <v>448</v>
      </c>
      <c r="B56" s="7" t="s">
        <v>239</v>
      </c>
      <c r="C56" s="7" t="s">
        <v>251</v>
      </c>
      <c r="D56" s="7" t="s">
        <v>76</v>
      </c>
      <c r="E56" s="7" t="s">
        <v>355</v>
      </c>
      <c r="F56" s="7" t="s">
        <v>316</v>
      </c>
      <c r="G56" s="7" t="s">
        <v>511</v>
      </c>
      <c r="H56" s="7" t="s">
        <v>512</v>
      </c>
      <c r="I56" s="7" t="s">
        <v>513</v>
      </c>
      <c r="J56" s="7" t="s">
        <v>514</v>
      </c>
    </row>
    <row r="57" spans="1:10" x14ac:dyDescent="0.45">
      <c r="A57" s="7" t="s">
        <v>515</v>
      </c>
      <c r="B57" s="7" t="s">
        <v>295</v>
      </c>
      <c r="C57" s="7" t="s">
        <v>516</v>
      </c>
      <c r="D57" s="7" t="s">
        <v>76</v>
      </c>
      <c r="E57" s="7" t="s">
        <v>315</v>
      </c>
      <c r="F57" s="7" t="s">
        <v>346</v>
      </c>
      <c r="G57" s="7" t="s">
        <v>517</v>
      </c>
      <c r="H57" s="7" t="s">
        <v>518</v>
      </c>
      <c r="I57" s="7" t="s">
        <v>519</v>
      </c>
      <c r="J57" s="7" t="s">
        <v>299</v>
      </c>
    </row>
    <row r="58" spans="1:10" ht="23.25" x14ac:dyDescent="0.45">
      <c r="A58" s="7" t="s">
        <v>520</v>
      </c>
      <c r="B58" s="7" t="s">
        <v>274</v>
      </c>
      <c r="C58" s="7" t="s">
        <v>287</v>
      </c>
      <c r="D58" s="7" t="s">
        <v>314</v>
      </c>
      <c r="E58" s="7" t="s">
        <v>315</v>
      </c>
      <c r="F58" s="7" t="s">
        <v>521</v>
      </c>
      <c r="G58" s="7" t="s">
        <v>522</v>
      </c>
      <c r="H58" s="7" t="s">
        <v>523</v>
      </c>
      <c r="I58" s="7" t="s">
        <v>524</v>
      </c>
      <c r="J58" s="7" t="s">
        <v>289</v>
      </c>
    </row>
    <row r="59" spans="1:10" x14ac:dyDescent="0.45">
      <c r="A59" s="7" t="s">
        <v>520</v>
      </c>
      <c r="B59" s="7" t="s">
        <v>525</v>
      </c>
      <c r="C59" s="7" t="s">
        <v>526</v>
      </c>
      <c r="D59" s="7" t="s">
        <v>382</v>
      </c>
      <c r="E59" s="7" t="s">
        <v>345</v>
      </c>
      <c r="F59" s="7" t="s">
        <v>316</v>
      </c>
      <c r="G59" s="7" t="s">
        <v>527</v>
      </c>
      <c r="H59" s="7" t="s">
        <v>528</v>
      </c>
      <c r="I59" s="7" t="s">
        <v>529</v>
      </c>
      <c r="J59" s="7"/>
    </row>
    <row r="60" spans="1:10" x14ac:dyDescent="0.45">
      <c r="A60" s="7" t="s">
        <v>520</v>
      </c>
      <c r="B60" s="7" t="s">
        <v>104</v>
      </c>
      <c r="C60" s="7" t="s">
        <v>134</v>
      </c>
      <c r="D60" s="7" t="s">
        <v>382</v>
      </c>
      <c r="E60" s="7" t="s">
        <v>345</v>
      </c>
      <c r="F60" s="7" t="s">
        <v>316</v>
      </c>
      <c r="G60" s="7" t="s">
        <v>530</v>
      </c>
      <c r="H60" s="7" t="s">
        <v>531</v>
      </c>
      <c r="I60" s="7" t="s">
        <v>532</v>
      </c>
      <c r="J60" s="7" t="s">
        <v>155</v>
      </c>
    </row>
    <row r="61" spans="1:10" x14ac:dyDescent="0.45">
      <c r="A61" s="7" t="s">
        <v>520</v>
      </c>
      <c r="B61" s="7" t="s">
        <v>276</v>
      </c>
      <c r="C61" s="7" t="s">
        <v>533</v>
      </c>
      <c r="D61" s="7" t="s">
        <v>382</v>
      </c>
      <c r="E61" s="7" t="s">
        <v>408</v>
      </c>
      <c r="F61" s="7" t="s">
        <v>316</v>
      </c>
      <c r="G61" s="7" t="s">
        <v>534</v>
      </c>
      <c r="H61" s="7" t="s">
        <v>535</v>
      </c>
      <c r="I61" s="7" t="s">
        <v>536</v>
      </c>
      <c r="J61" s="7" t="s">
        <v>537</v>
      </c>
    </row>
    <row r="62" spans="1:10" ht="23.25" x14ac:dyDescent="0.45">
      <c r="A62" s="7" t="s">
        <v>520</v>
      </c>
      <c r="B62" s="7" t="s">
        <v>277</v>
      </c>
      <c r="C62" s="7" t="s">
        <v>538</v>
      </c>
      <c r="D62" s="7" t="s">
        <v>382</v>
      </c>
      <c r="E62" s="7" t="s">
        <v>408</v>
      </c>
      <c r="F62" s="7" t="s">
        <v>316</v>
      </c>
      <c r="G62" s="7" t="s">
        <v>539</v>
      </c>
      <c r="H62" s="7" t="s">
        <v>540</v>
      </c>
      <c r="I62" s="7" t="s">
        <v>541</v>
      </c>
      <c r="J62" s="7" t="s">
        <v>542</v>
      </c>
    </row>
    <row r="63" spans="1:10" x14ac:dyDescent="0.45">
      <c r="A63" s="7" t="s">
        <v>520</v>
      </c>
      <c r="B63" s="7" t="s">
        <v>278</v>
      </c>
      <c r="C63" s="7" t="s">
        <v>543</v>
      </c>
      <c r="D63" s="7" t="s">
        <v>417</v>
      </c>
      <c r="E63" s="7" t="s">
        <v>408</v>
      </c>
      <c r="F63" s="7" t="s">
        <v>316</v>
      </c>
      <c r="G63" s="7" t="s">
        <v>544</v>
      </c>
      <c r="H63" s="7" t="s">
        <v>545</v>
      </c>
      <c r="I63" s="7" t="s">
        <v>315</v>
      </c>
      <c r="J63" s="7"/>
    </row>
    <row r="64" spans="1:10" x14ac:dyDescent="0.45">
      <c r="A64" s="7" t="s">
        <v>520</v>
      </c>
      <c r="B64" s="7" t="s">
        <v>279</v>
      </c>
      <c r="C64" s="7" t="s">
        <v>546</v>
      </c>
      <c r="D64" s="7" t="s">
        <v>417</v>
      </c>
      <c r="E64" s="7" t="s">
        <v>421</v>
      </c>
      <c r="F64" s="7" t="s">
        <v>316</v>
      </c>
      <c r="G64" s="7" t="s">
        <v>547</v>
      </c>
      <c r="H64" s="7" t="s">
        <v>476</v>
      </c>
      <c r="I64" s="7" t="s">
        <v>315</v>
      </c>
      <c r="J64" s="7" t="s">
        <v>548</v>
      </c>
    </row>
    <row r="65" spans="1:10" x14ac:dyDescent="0.45">
      <c r="A65" s="7" t="s">
        <v>520</v>
      </c>
      <c r="B65" s="7" t="s">
        <v>280</v>
      </c>
      <c r="C65" s="7" t="s">
        <v>549</v>
      </c>
      <c r="D65" s="7" t="s">
        <v>382</v>
      </c>
      <c r="E65" s="7" t="s">
        <v>345</v>
      </c>
      <c r="F65" s="7" t="s">
        <v>316</v>
      </c>
      <c r="G65" s="7" t="s">
        <v>550</v>
      </c>
      <c r="H65" s="7" t="s">
        <v>551</v>
      </c>
      <c r="I65" s="7" t="s">
        <v>428</v>
      </c>
      <c r="J65" s="7" t="s">
        <v>198</v>
      </c>
    </row>
    <row r="66" spans="1:10" x14ac:dyDescent="0.45">
      <c r="A66" s="7" t="s">
        <v>520</v>
      </c>
      <c r="B66" s="7" t="s">
        <v>281</v>
      </c>
      <c r="C66" s="7" t="s">
        <v>552</v>
      </c>
      <c r="D66" s="7" t="s">
        <v>382</v>
      </c>
      <c r="E66" s="7" t="s">
        <v>408</v>
      </c>
      <c r="F66" s="7" t="s">
        <v>316</v>
      </c>
      <c r="G66" s="7" t="s">
        <v>553</v>
      </c>
      <c r="H66" s="7" t="s">
        <v>551</v>
      </c>
      <c r="I66" s="7" t="s">
        <v>428</v>
      </c>
      <c r="J66" s="7" t="s">
        <v>198</v>
      </c>
    </row>
    <row r="67" spans="1:10" x14ac:dyDescent="0.45">
      <c r="A67" s="7" t="s">
        <v>520</v>
      </c>
      <c r="B67" s="7" t="s">
        <v>282</v>
      </c>
      <c r="C67" s="7" t="s">
        <v>554</v>
      </c>
      <c r="D67" s="7" t="s">
        <v>382</v>
      </c>
      <c r="E67" s="7" t="s">
        <v>345</v>
      </c>
      <c r="F67" s="7" t="s">
        <v>316</v>
      </c>
      <c r="G67" s="7" t="s">
        <v>555</v>
      </c>
      <c r="H67" s="7" t="s">
        <v>556</v>
      </c>
      <c r="I67" s="7" t="s">
        <v>557</v>
      </c>
      <c r="J67" s="7" t="s">
        <v>199</v>
      </c>
    </row>
    <row r="68" spans="1:10" x14ac:dyDescent="0.45">
      <c r="A68" s="7" t="s">
        <v>520</v>
      </c>
      <c r="B68" s="7" t="s">
        <v>283</v>
      </c>
      <c r="C68" s="7" t="s">
        <v>558</v>
      </c>
      <c r="D68" s="7" t="s">
        <v>382</v>
      </c>
      <c r="E68" s="7" t="s">
        <v>421</v>
      </c>
      <c r="F68" s="7" t="s">
        <v>316</v>
      </c>
      <c r="G68" s="7" t="s">
        <v>559</v>
      </c>
      <c r="H68" s="7" t="s">
        <v>551</v>
      </c>
      <c r="I68" s="7" t="s">
        <v>487</v>
      </c>
      <c r="J68" s="7" t="s">
        <v>200</v>
      </c>
    </row>
    <row r="69" spans="1:10" x14ac:dyDescent="0.45">
      <c r="A69" s="7" t="s">
        <v>520</v>
      </c>
      <c r="B69" s="7" t="s">
        <v>284</v>
      </c>
      <c r="C69" s="7" t="s">
        <v>560</v>
      </c>
      <c r="D69" s="7" t="s">
        <v>382</v>
      </c>
      <c r="E69" s="7" t="s">
        <v>383</v>
      </c>
      <c r="F69" s="7" t="s">
        <v>316</v>
      </c>
      <c r="G69" s="7" t="s">
        <v>561</v>
      </c>
      <c r="H69" s="7" t="s">
        <v>551</v>
      </c>
      <c r="I69" s="7" t="s">
        <v>315</v>
      </c>
      <c r="J69" s="7" t="s">
        <v>562</v>
      </c>
    </row>
    <row r="70" spans="1:10" x14ac:dyDescent="0.45">
      <c r="A70" s="7" t="s">
        <v>520</v>
      </c>
      <c r="B70" s="7" t="s">
        <v>285</v>
      </c>
      <c r="C70" s="7" t="s">
        <v>563</v>
      </c>
      <c r="D70" s="7" t="s">
        <v>382</v>
      </c>
      <c r="E70" s="7" t="s">
        <v>345</v>
      </c>
      <c r="F70" s="7" t="s">
        <v>444</v>
      </c>
      <c r="G70" s="7" t="s">
        <v>564</v>
      </c>
      <c r="H70" s="7" t="s">
        <v>565</v>
      </c>
      <c r="I70" s="7" t="s">
        <v>315</v>
      </c>
      <c r="J70" s="7" t="s">
        <v>566</v>
      </c>
    </row>
    <row r="71" spans="1:10" x14ac:dyDescent="0.45">
      <c r="A71" s="7" t="s">
        <v>331</v>
      </c>
      <c r="B71" s="7" t="s">
        <v>79</v>
      </c>
      <c r="C71" s="7" t="s">
        <v>109</v>
      </c>
      <c r="D71" s="7" t="s">
        <v>382</v>
      </c>
      <c r="E71" s="7" t="s">
        <v>315</v>
      </c>
      <c r="F71" s="7" t="s">
        <v>567</v>
      </c>
      <c r="G71" s="7" t="s">
        <v>568</v>
      </c>
      <c r="H71" s="7" t="s">
        <v>569</v>
      </c>
      <c r="I71" s="7" t="s">
        <v>570</v>
      </c>
      <c r="J71" s="7" t="s">
        <v>139</v>
      </c>
    </row>
    <row r="72" spans="1:10" x14ac:dyDescent="0.45">
      <c r="A72" s="7" t="s">
        <v>331</v>
      </c>
      <c r="B72" s="7" t="s">
        <v>81</v>
      </c>
      <c r="C72" s="7" t="s">
        <v>111</v>
      </c>
      <c r="D72" s="7" t="s">
        <v>382</v>
      </c>
      <c r="E72" s="7" t="s">
        <v>315</v>
      </c>
      <c r="F72" s="7" t="s">
        <v>316</v>
      </c>
      <c r="G72" s="7" t="s">
        <v>571</v>
      </c>
      <c r="H72" s="7" t="s">
        <v>572</v>
      </c>
      <c r="I72" s="7" t="s">
        <v>573</v>
      </c>
      <c r="J72" s="7" t="s">
        <v>140</v>
      </c>
    </row>
    <row r="73" spans="1:10" x14ac:dyDescent="0.45">
      <c r="A73" s="7" t="s">
        <v>394</v>
      </c>
      <c r="B73" s="7" t="s">
        <v>169</v>
      </c>
      <c r="C73" s="7" t="s">
        <v>182</v>
      </c>
      <c r="D73" s="7" t="s">
        <v>382</v>
      </c>
      <c r="E73" s="7" t="s">
        <v>315</v>
      </c>
      <c r="F73" s="7" t="s">
        <v>567</v>
      </c>
      <c r="G73" s="7" t="s">
        <v>574</v>
      </c>
      <c r="H73" s="7" t="s">
        <v>575</v>
      </c>
      <c r="I73" s="7" t="s">
        <v>576</v>
      </c>
      <c r="J73" s="7" t="s">
        <v>195</v>
      </c>
    </row>
    <row r="74" spans="1:10" x14ac:dyDescent="0.45">
      <c r="A74" s="7" t="s">
        <v>394</v>
      </c>
      <c r="B74" s="7" t="s">
        <v>577</v>
      </c>
      <c r="C74" s="7" t="s">
        <v>578</v>
      </c>
      <c r="D74" s="7" t="s">
        <v>382</v>
      </c>
      <c r="E74" s="7" t="s">
        <v>315</v>
      </c>
      <c r="F74" s="7" t="s">
        <v>316</v>
      </c>
      <c r="G74" s="7" t="s">
        <v>579</v>
      </c>
      <c r="H74" s="7" t="s">
        <v>580</v>
      </c>
      <c r="I74" s="7" t="s">
        <v>581</v>
      </c>
      <c r="J74" s="7"/>
    </row>
    <row r="75" spans="1:10" x14ac:dyDescent="0.45">
      <c r="A75" s="7" t="s">
        <v>394</v>
      </c>
      <c r="B75" s="7" t="s">
        <v>582</v>
      </c>
      <c r="C75" s="7" t="s">
        <v>583</v>
      </c>
      <c r="D75" s="7" t="s">
        <v>382</v>
      </c>
      <c r="E75" s="7" t="s">
        <v>315</v>
      </c>
      <c r="F75" s="7" t="s">
        <v>316</v>
      </c>
      <c r="G75" s="7" t="s">
        <v>584</v>
      </c>
      <c r="H75" s="7" t="s">
        <v>585</v>
      </c>
      <c r="I75" s="7" t="s">
        <v>586</v>
      </c>
      <c r="J75" s="7" t="s">
        <v>154</v>
      </c>
    </row>
    <row r="76" spans="1:10" x14ac:dyDescent="0.45">
      <c r="A76" s="7" t="s">
        <v>448</v>
      </c>
      <c r="B76" s="7" t="s">
        <v>220</v>
      </c>
      <c r="C76" s="7" t="s">
        <v>242</v>
      </c>
      <c r="D76" s="7" t="s">
        <v>382</v>
      </c>
      <c r="E76" s="7" t="s">
        <v>315</v>
      </c>
      <c r="F76" s="7" t="s">
        <v>567</v>
      </c>
      <c r="G76" s="7" t="s">
        <v>587</v>
      </c>
      <c r="H76" s="7" t="s">
        <v>588</v>
      </c>
      <c r="I76" s="7" t="s">
        <v>589</v>
      </c>
      <c r="J76" s="7" t="s">
        <v>195</v>
      </c>
    </row>
    <row r="77" spans="1:10" x14ac:dyDescent="0.45">
      <c r="A77" s="7" t="s">
        <v>448</v>
      </c>
      <c r="B77" s="7" t="s">
        <v>590</v>
      </c>
      <c r="C77" s="7" t="s">
        <v>591</v>
      </c>
      <c r="D77" s="7" t="s">
        <v>382</v>
      </c>
      <c r="E77" s="7" t="s">
        <v>315</v>
      </c>
      <c r="F77" s="7" t="s">
        <v>316</v>
      </c>
      <c r="G77" s="7" t="s">
        <v>592</v>
      </c>
      <c r="H77" s="7" t="s">
        <v>593</v>
      </c>
      <c r="I77" s="7" t="s">
        <v>581</v>
      </c>
      <c r="J77" s="7"/>
    </row>
    <row r="78" spans="1:10" x14ac:dyDescent="0.45">
      <c r="A78" s="7" t="s">
        <v>448</v>
      </c>
      <c r="B78" s="7" t="s">
        <v>594</v>
      </c>
      <c r="C78" s="7" t="s">
        <v>595</v>
      </c>
      <c r="D78" s="7" t="s">
        <v>382</v>
      </c>
      <c r="E78" s="7" t="s">
        <v>315</v>
      </c>
      <c r="F78" s="7" t="s">
        <v>316</v>
      </c>
      <c r="G78" s="7" t="s">
        <v>596</v>
      </c>
      <c r="H78" s="7" t="s">
        <v>597</v>
      </c>
      <c r="I78" s="7" t="s">
        <v>598</v>
      </c>
      <c r="J78" s="7" t="s">
        <v>252</v>
      </c>
    </row>
    <row r="79" spans="1:10" x14ac:dyDescent="0.45">
      <c r="A79" s="7" t="s">
        <v>520</v>
      </c>
      <c r="B79" s="7" t="s">
        <v>273</v>
      </c>
      <c r="C79" s="7" t="s">
        <v>286</v>
      </c>
      <c r="D79" s="7" t="s">
        <v>382</v>
      </c>
      <c r="E79" s="7" t="s">
        <v>315</v>
      </c>
      <c r="F79" s="7" t="s">
        <v>567</v>
      </c>
      <c r="G79" s="7" t="s">
        <v>599</v>
      </c>
      <c r="H79" s="7" t="s">
        <v>588</v>
      </c>
      <c r="I79" s="7" t="s">
        <v>600</v>
      </c>
      <c r="J79" s="7" t="s">
        <v>139</v>
      </c>
    </row>
    <row r="80" spans="1:10" x14ac:dyDescent="0.45">
      <c r="A80" s="7" t="s">
        <v>520</v>
      </c>
      <c r="B80" s="7" t="s">
        <v>601</v>
      </c>
      <c r="C80" s="7" t="s">
        <v>602</v>
      </c>
      <c r="D80" s="7" t="s">
        <v>382</v>
      </c>
      <c r="E80" s="7" t="s">
        <v>315</v>
      </c>
      <c r="F80" s="7" t="s">
        <v>316</v>
      </c>
      <c r="G80" s="7" t="s">
        <v>603</v>
      </c>
      <c r="H80" s="7" t="s">
        <v>593</v>
      </c>
      <c r="I80" s="7" t="s">
        <v>419</v>
      </c>
      <c r="J80" s="7"/>
    </row>
    <row r="81" spans="1:10" x14ac:dyDescent="0.45">
      <c r="A81" s="7" t="s">
        <v>520</v>
      </c>
      <c r="B81" s="7" t="s">
        <v>604</v>
      </c>
      <c r="C81" s="7" t="s">
        <v>605</v>
      </c>
      <c r="D81" s="7" t="s">
        <v>382</v>
      </c>
      <c r="E81" s="7" t="s">
        <v>315</v>
      </c>
      <c r="F81" s="7" t="s">
        <v>316</v>
      </c>
      <c r="G81" s="7" t="s">
        <v>606</v>
      </c>
      <c r="H81" s="7" t="s">
        <v>607</v>
      </c>
      <c r="I81" s="7" t="s">
        <v>598</v>
      </c>
      <c r="J81" s="7" t="s">
        <v>155</v>
      </c>
    </row>
  </sheetData>
  <mergeCells count="2">
    <mergeCell ref="A1:J1"/>
    <mergeCell ref="A2:J2"/>
  </mergeCells>
  <phoneticPr fontId="10" type="noConversion"/>
  <conditionalFormatting sqref="D5:D81">
    <cfRule type="expression" dxfId="3" priority="1">
      <formula>OR($D5="必填",$D5="必填/条件")</formula>
    </cfRule>
    <cfRule type="expression" dxfId="2" priority="2">
      <formula>$D5="可选"</formula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"/>
  <sheetViews>
    <sheetView workbookViewId="0">
      <selection sqref="A1:F1"/>
    </sheetView>
  </sheetViews>
  <sheetFormatPr defaultRowHeight="14.25" x14ac:dyDescent="0.45"/>
  <cols>
    <col min="1" max="2" width="24" customWidth="1"/>
    <col min="3" max="3" width="35" customWidth="1"/>
    <col min="4" max="4" width="45" customWidth="1"/>
    <col min="5" max="5" width="18" customWidth="1"/>
    <col min="6" max="6" width="36" customWidth="1"/>
  </cols>
  <sheetData>
    <row r="1" spans="1:6" ht="14" customHeight="1" x14ac:dyDescent="0.45">
      <c r="A1" s="8" t="s">
        <v>608</v>
      </c>
      <c r="B1" s="9"/>
      <c r="C1" s="9"/>
      <c r="D1" s="9"/>
      <c r="E1" s="9"/>
      <c r="F1" s="9"/>
    </row>
    <row r="2" spans="1:6" ht="16.05" customHeight="1" x14ac:dyDescent="0.45">
      <c r="A2" s="10" t="s">
        <v>609</v>
      </c>
      <c r="B2" s="9"/>
      <c r="C2" s="9"/>
      <c r="D2" s="9"/>
      <c r="E2" s="9"/>
      <c r="F2" s="9"/>
    </row>
    <row r="4" spans="1:6" ht="18" customHeight="1" x14ac:dyDescent="0.45">
      <c r="A4" s="5" t="s">
        <v>610</v>
      </c>
      <c r="B4" s="5" t="s">
        <v>611</v>
      </c>
      <c r="C4" s="5" t="s">
        <v>298</v>
      </c>
      <c r="D4" s="5" t="s">
        <v>7</v>
      </c>
      <c r="E4" s="5" t="s">
        <v>612</v>
      </c>
      <c r="F4" s="5" t="s">
        <v>613</v>
      </c>
    </row>
    <row r="5" spans="1:6" x14ac:dyDescent="0.45">
      <c r="A5" s="7" t="s">
        <v>108</v>
      </c>
      <c r="B5" s="7" t="s">
        <v>138</v>
      </c>
      <c r="C5" s="7" t="s">
        <v>614</v>
      </c>
      <c r="D5" s="7" t="s">
        <v>615</v>
      </c>
      <c r="E5" s="7" t="s">
        <v>138</v>
      </c>
      <c r="F5" s="7" t="s">
        <v>79</v>
      </c>
    </row>
    <row r="6" spans="1:6" x14ac:dyDescent="0.45">
      <c r="A6" s="7" t="s">
        <v>108</v>
      </c>
      <c r="B6" s="7" t="s">
        <v>616</v>
      </c>
      <c r="C6" s="7" t="s">
        <v>614</v>
      </c>
      <c r="D6" s="7" t="s">
        <v>615</v>
      </c>
      <c r="E6" s="7" t="s">
        <v>138</v>
      </c>
      <c r="F6" s="7" t="s">
        <v>79</v>
      </c>
    </row>
    <row r="7" spans="1:6" x14ac:dyDescent="0.45">
      <c r="A7" s="7" t="s">
        <v>617</v>
      </c>
      <c r="B7" s="7" t="s">
        <v>139</v>
      </c>
      <c r="C7" s="7" t="s">
        <v>618</v>
      </c>
      <c r="D7" s="7" t="s">
        <v>619</v>
      </c>
      <c r="E7" s="7" t="s">
        <v>139</v>
      </c>
      <c r="F7" s="7" t="s">
        <v>79</v>
      </c>
    </row>
    <row r="8" spans="1:6" x14ac:dyDescent="0.45">
      <c r="A8" s="7" t="s">
        <v>617</v>
      </c>
      <c r="B8" s="7" t="s">
        <v>195</v>
      </c>
      <c r="C8" s="7" t="s">
        <v>618</v>
      </c>
      <c r="D8" s="7" t="s">
        <v>619</v>
      </c>
      <c r="E8" s="7" t="s">
        <v>139</v>
      </c>
      <c r="F8" s="7" t="s">
        <v>79</v>
      </c>
    </row>
    <row r="9" spans="1:6" x14ac:dyDescent="0.45">
      <c r="A9" s="7" t="s">
        <v>21</v>
      </c>
      <c r="B9" s="7" t="s">
        <v>22</v>
      </c>
      <c r="C9" s="7" t="s">
        <v>326</v>
      </c>
      <c r="D9" s="7" t="s">
        <v>620</v>
      </c>
      <c r="E9" s="7" t="s">
        <v>22</v>
      </c>
      <c r="F9" s="7" t="s">
        <v>21</v>
      </c>
    </row>
    <row r="10" spans="1:6" x14ac:dyDescent="0.45">
      <c r="A10" s="7" t="s">
        <v>21</v>
      </c>
      <c r="B10" s="7" t="s">
        <v>621</v>
      </c>
      <c r="C10" s="7" t="s">
        <v>326</v>
      </c>
      <c r="D10" s="7" t="s">
        <v>620</v>
      </c>
      <c r="E10" s="7" t="s">
        <v>22</v>
      </c>
      <c r="F10" s="7" t="s">
        <v>21</v>
      </c>
    </row>
    <row r="11" spans="1:6" x14ac:dyDescent="0.45">
      <c r="A11" s="7" t="s">
        <v>622</v>
      </c>
      <c r="B11" s="7" t="s">
        <v>114</v>
      </c>
      <c r="C11" s="7" t="s">
        <v>623</v>
      </c>
      <c r="D11" s="7" t="s">
        <v>624</v>
      </c>
      <c r="E11" s="7" t="s">
        <v>117</v>
      </c>
      <c r="F11" s="7" t="s">
        <v>83</v>
      </c>
    </row>
    <row r="12" spans="1:6" x14ac:dyDescent="0.45">
      <c r="A12" s="7" t="s">
        <v>622</v>
      </c>
      <c r="B12" s="7" t="s">
        <v>115</v>
      </c>
      <c r="C12" s="7" t="s">
        <v>623</v>
      </c>
      <c r="D12" s="7" t="s">
        <v>624</v>
      </c>
      <c r="E12" s="7" t="s">
        <v>117</v>
      </c>
      <c r="F12" s="7" t="s">
        <v>83</v>
      </c>
    </row>
    <row r="13" spans="1:6" x14ac:dyDescent="0.45">
      <c r="A13" s="7" t="s">
        <v>622</v>
      </c>
      <c r="B13" s="7" t="s">
        <v>116</v>
      </c>
      <c r="C13" s="7" t="s">
        <v>623</v>
      </c>
      <c r="D13" s="7" t="s">
        <v>624</v>
      </c>
      <c r="E13" s="7" t="s">
        <v>117</v>
      </c>
      <c r="F13" s="7" t="s">
        <v>83</v>
      </c>
    </row>
    <row r="14" spans="1:6" x14ac:dyDescent="0.45">
      <c r="A14" s="7" t="s">
        <v>622</v>
      </c>
      <c r="B14" s="7" t="s">
        <v>117</v>
      </c>
      <c r="C14" s="7" t="s">
        <v>623</v>
      </c>
      <c r="D14" s="7" t="s">
        <v>624</v>
      </c>
      <c r="E14" s="7" t="s">
        <v>117</v>
      </c>
      <c r="F14" s="7" t="s">
        <v>83</v>
      </c>
    </row>
    <row r="15" spans="1:6" x14ac:dyDescent="0.45">
      <c r="A15" s="7" t="s">
        <v>622</v>
      </c>
      <c r="B15" s="7" t="s">
        <v>118</v>
      </c>
      <c r="C15" s="7" t="s">
        <v>623</v>
      </c>
      <c r="D15" s="7" t="s">
        <v>624</v>
      </c>
      <c r="E15" s="7" t="s">
        <v>117</v>
      </c>
      <c r="F15" s="7" t="s">
        <v>83</v>
      </c>
    </row>
    <row r="16" spans="1:6" x14ac:dyDescent="0.45">
      <c r="A16" s="7" t="s">
        <v>622</v>
      </c>
      <c r="B16" s="7" t="s">
        <v>119</v>
      </c>
      <c r="C16" s="7" t="s">
        <v>623</v>
      </c>
      <c r="D16" s="7" t="s">
        <v>624</v>
      </c>
      <c r="E16" s="7" t="s">
        <v>117</v>
      </c>
      <c r="F16" s="7" t="s">
        <v>83</v>
      </c>
    </row>
    <row r="17" spans="1:6" x14ac:dyDescent="0.45">
      <c r="A17" s="7" t="s">
        <v>622</v>
      </c>
      <c r="B17" s="7" t="s">
        <v>120</v>
      </c>
      <c r="C17" s="7" t="s">
        <v>623</v>
      </c>
      <c r="D17" s="7" t="s">
        <v>624</v>
      </c>
      <c r="E17" s="7" t="s">
        <v>117</v>
      </c>
      <c r="F17" s="7" t="s">
        <v>83</v>
      </c>
    </row>
    <row r="18" spans="1:6" x14ac:dyDescent="0.45">
      <c r="A18" s="7" t="s">
        <v>625</v>
      </c>
      <c r="B18" s="7" t="s">
        <v>142</v>
      </c>
      <c r="C18" s="7" t="s">
        <v>121</v>
      </c>
      <c r="D18" s="7" t="s">
        <v>626</v>
      </c>
      <c r="E18" s="7" t="s">
        <v>142</v>
      </c>
      <c r="F18" s="7" t="s">
        <v>91</v>
      </c>
    </row>
    <row r="19" spans="1:6" x14ac:dyDescent="0.45">
      <c r="A19" s="7" t="s">
        <v>625</v>
      </c>
      <c r="B19" s="7" t="s">
        <v>627</v>
      </c>
      <c r="C19" s="7" t="s">
        <v>121</v>
      </c>
      <c r="D19" s="7" t="s">
        <v>626</v>
      </c>
      <c r="E19" s="7" t="s">
        <v>142</v>
      </c>
      <c r="F19" s="7" t="s">
        <v>91</v>
      </c>
    </row>
    <row r="20" spans="1:6" x14ac:dyDescent="0.45">
      <c r="A20" s="7" t="s">
        <v>628</v>
      </c>
      <c r="B20" s="7" t="s">
        <v>152</v>
      </c>
      <c r="C20" s="7" t="s">
        <v>131</v>
      </c>
      <c r="D20" s="7" t="s">
        <v>629</v>
      </c>
      <c r="E20" s="7" t="s">
        <v>152</v>
      </c>
      <c r="F20" s="7" t="s">
        <v>101</v>
      </c>
    </row>
    <row r="21" spans="1:6" x14ac:dyDescent="0.45">
      <c r="A21" s="7" t="s">
        <v>628</v>
      </c>
      <c r="B21" s="7" t="s">
        <v>630</v>
      </c>
      <c r="C21" s="7" t="s">
        <v>131</v>
      </c>
      <c r="D21" s="7" t="s">
        <v>629</v>
      </c>
      <c r="E21" s="7" t="s">
        <v>152</v>
      </c>
      <c r="F21" s="7" t="s">
        <v>101</v>
      </c>
    </row>
    <row r="22" spans="1:6" x14ac:dyDescent="0.45">
      <c r="A22" s="7" t="s">
        <v>631</v>
      </c>
      <c r="B22" s="7" t="s">
        <v>253</v>
      </c>
      <c r="C22" s="7" t="s">
        <v>243</v>
      </c>
      <c r="D22" s="7" t="s">
        <v>632</v>
      </c>
      <c r="E22" s="7" t="s">
        <v>253</v>
      </c>
      <c r="F22" s="7" t="s">
        <v>221</v>
      </c>
    </row>
    <row r="23" spans="1:6" x14ac:dyDescent="0.45">
      <c r="A23" s="7" t="s">
        <v>631</v>
      </c>
      <c r="B23" s="7" t="s">
        <v>633</v>
      </c>
      <c r="C23" s="7" t="s">
        <v>243</v>
      </c>
      <c r="D23" s="7" t="s">
        <v>632</v>
      </c>
      <c r="E23" s="7" t="s">
        <v>253</v>
      </c>
      <c r="F23" s="7" t="s">
        <v>221</v>
      </c>
    </row>
    <row r="24" spans="1:6" x14ac:dyDescent="0.45">
      <c r="A24" s="7" t="s">
        <v>634</v>
      </c>
      <c r="B24" s="7" t="s">
        <v>289</v>
      </c>
      <c r="C24" s="7" t="s">
        <v>635</v>
      </c>
      <c r="D24" s="7" t="s">
        <v>636</v>
      </c>
      <c r="E24" s="7" t="s">
        <v>289</v>
      </c>
      <c r="F24" s="7" t="s">
        <v>274</v>
      </c>
    </row>
    <row r="25" spans="1:6" x14ac:dyDescent="0.45">
      <c r="A25" s="7" t="s">
        <v>634</v>
      </c>
      <c r="B25" s="7" t="s">
        <v>152</v>
      </c>
      <c r="C25" s="7" t="s">
        <v>635</v>
      </c>
      <c r="D25" s="7" t="s">
        <v>636</v>
      </c>
      <c r="E25" s="7" t="s">
        <v>289</v>
      </c>
      <c r="F25" s="7" t="s">
        <v>274</v>
      </c>
    </row>
    <row r="26" spans="1:6" x14ac:dyDescent="0.45">
      <c r="A26" s="7" t="s">
        <v>634</v>
      </c>
      <c r="B26" s="7" t="s">
        <v>637</v>
      </c>
      <c r="C26" s="7" t="s">
        <v>635</v>
      </c>
      <c r="D26" s="7" t="s">
        <v>636</v>
      </c>
      <c r="E26" s="7" t="s">
        <v>289</v>
      </c>
      <c r="F26" s="7" t="s">
        <v>274</v>
      </c>
    </row>
    <row r="27" spans="1:6" x14ac:dyDescent="0.45">
      <c r="A27" s="7" t="s">
        <v>634</v>
      </c>
      <c r="B27" s="7" t="s">
        <v>638</v>
      </c>
      <c r="C27" s="7" t="s">
        <v>635</v>
      </c>
      <c r="D27" s="7" t="s">
        <v>636</v>
      </c>
      <c r="E27" s="7" t="s">
        <v>289</v>
      </c>
      <c r="F27" s="7" t="s">
        <v>274</v>
      </c>
    </row>
    <row r="28" spans="1:6" x14ac:dyDescent="0.45">
      <c r="A28" s="7" t="s">
        <v>634</v>
      </c>
      <c r="B28" s="7" t="s">
        <v>639</v>
      </c>
      <c r="C28" s="7" t="s">
        <v>635</v>
      </c>
      <c r="D28" s="7" t="s">
        <v>636</v>
      </c>
      <c r="E28" s="7" t="s">
        <v>289</v>
      </c>
      <c r="F28" s="7" t="s">
        <v>274</v>
      </c>
    </row>
    <row r="29" spans="1:6" x14ac:dyDescent="0.45">
      <c r="A29" s="7" t="s">
        <v>640</v>
      </c>
      <c r="B29" s="7" t="s">
        <v>195</v>
      </c>
      <c r="C29" s="7" t="s">
        <v>641</v>
      </c>
      <c r="D29" s="7" t="s">
        <v>642</v>
      </c>
      <c r="E29" s="7" t="s">
        <v>139</v>
      </c>
      <c r="F29" s="7" t="s">
        <v>643</v>
      </c>
    </row>
    <row r="30" spans="1:6" x14ac:dyDescent="0.45">
      <c r="A30" s="7" t="s">
        <v>640</v>
      </c>
      <c r="B30" s="7" t="s">
        <v>139</v>
      </c>
      <c r="C30" s="7" t="s">
        <v>641</v>
      </c>
      <c r="D30" s="7" t="s">
        <v>642</v>
      </c>
      <c r="E30" s="7" t="s">
        <v>139</v>
      </c>
      <c r="F30" s="7" t="s">
        <v>643</v>
      </c>
    </row>
    <row r="31" spans="1:6" x14ac:dyDescent="0.45">
      <c r="A31" s="7" t="s">
        <v>644</v>
      </c>
      <c r="B31" s="7" t="s">
        <v>22</v>
      </c>
      <c r="C31" s="7" t="s">
        <v>250</v>
      </c>
      <c r="D31" s="7" t="s">
        <v>645</v>
      </c>
      <c r="E31" s="7" t="s">
        <v>22</v>
      </c>
      <c r="F31" s="7" t="s">
        <v>238</v>
      </c>
    </row>
    <row r="32" spans="1:6" x14ac:dyDescent="0.45">
      <c r="A32" s="7" t="s">
        <v>644</v>
      </c>
      <c r="B32" s="7" t="s">
        <v>621</v>
      </c>
      <c r="C32" s="7" t="s">
        <v>250</v>
      </c>
      <c r="D32" s="7" t="s">
        <v>645</v>
      </c>
      <c r="E32" s="7" t="s">
        <v>22</v>
      </c>
      <c r="F32" s="7" t="s">
        <v>238</v>
      </c>
    </row>
    <row r="33" spans="1:6" x14ac:dyDescent="0.45">
      <c r="A33" s="7" t="s">
        <v>644</v>
      </c>
      <c r="B33" s="7" t="s">
        <v>646</v>
      </c>
      <c r="C33" s="7" t="s">
        <v>250</v>
      </c>
      <c r="D33" s="7" t="s">
        <v>645</v>
      </c>
      <c r="E33" s="7" t="s">
        <v>22</v>
      </c>
      <c r="F33" s="7" t="s">
        <v>238</v>
      </c>
    </row>
    <row r="34" spans="1:6" x14ac:dyDescent="0.45">
      <c r="A34" s="7" t="s">
        <v>644</v>
      </c>
      <c r="B34" s="7" t="s">
        <v>647</v>
      </c>
      <c r="C34" s="7" t="s">
        <v>250</v>
      </c>
      <c r="D34" s="7" t="s">
        <v>645</v>
      </c>
      <c r="E34" s="7" t="s">
        <v>22</v>
      </c>
      <c r="F34" s="7" t="s">
        <v>238</v>
      </c>
    </row>
    <row r="35" spans="1:6" x14ac:dyDescent="0.45">
      <c r="A35" s="7" t="s">
        <v>648</v>
      </c>
      <c r="B35" s="7" t="s">
        <v>649</v>
      </c>
      <c r="C35" s="7" t="s">
        <v>650</v>
      </c>
      <c r="D35" s="7" t="s">
        <v>651</v>
      </c>
      <c r="E35" s="7"/>
      <c r="F35" s="7" t="s">
        <v>652</v>
      </c>
    </row>
    <row r="36" spans="1:6" x14ac:dyDescent="0.45">
      <c r="A36" s="7" t="s">
        <v>648</v>
      </c>
      <c r="B36" s="7" t="s">
        <v>653</v>
      </c>
      <c r="C36" s="7" t="s">
        <v>650</v>
      </c>
      <c r="D36" s="7" t="s">
        <v>651</v>
      </c>
      <c r="E36" s="7"/>
      <c r="F36" s="7" t="s">
        <v>652</v>
      </c>
    </row>
    <row r="37" spans="1:6" x14ac:dyDescent="0.45">
      <c r="A37" s="7" t="s">
        <v>648</v>
      </c>
      <c r="B37" s="7" t="s">
        <v>199</v>
      </c>
      <c r="C37" s="7" t="s">
        <v>650</v>
      </c>
      <c r="D37" s="7" t="s">
        <v>651</v>
      </c>
      <c r="E37" s="7"/>
      <c r="F37" s="7" t="s">
        <v>652</v>
      </c>
    </row>
    <row r="38" spans="1:6" x14ac:dyDescent="0.45">
      <c r="A38" s="7" t="s">
        <v>648</v>
      </c>
      <c r="B38" s="7" t="s">
        <v>654</v>
      </c>
      <c r="C38" s="7" t="s">
        <v>650</v>
      </c>
      <c r="D38" s="7" t="s">
        <v>651</v>
      </c>
      <c r="E38" s="7"/>
      <c r="F38" s="7" t="s">
        <v>652</v>
      </c>
    </row>
    <row r="39" spans="1:6" x14ac:dyDescent="0.45">
      <c r="A39" s="7" t="s">
        <v>648</v>
      </c>
      <c r="B39" s="7" t="s">
        <v>655</v>
      </c>
      <c r="C39" s="7" t="s">
        <v>650</v>
      </c>
      <c r="D39" s="7" t="s">
        <v>651</v>
      </c>
      <c r="E39" s="7"/>
      <c r="F39" s="7" t="s">
        <v>652</v>
      </c>
    </row>
    <row r="40" spans="1:6" x14ac:dyDescent="0.45">
      <c r="A40" s="7" t="s">
        <v>648</v>
      </c>
      <c r="B40" s="7" t="s">
        <v>656</v>
      </c>
      <c r="C40" s="7" t="s">
        <v>650</v>
      </c>
      <c r="D40" s="7" t="s">
        <v>651</v>
      </c>
      <c r="E40" s="7"/>
      <c r="F40" s="7" t="s">
        <v>652</v>
      </c>
    </row>
    <row r="41" spans="1:6" x14ac:dyDescent="0.45">
      <c r="A41" s="7" t="s">
        <v>648</v>
      </c>
      <c r="B41" s="7" t="s">
        <v>657</v>
      </c>
      <c r="C41" s="7" t="s">
        <v>650</v>
      </c>
      <c r="D41" s="7" t="s">
        <v>651</v>
      </c>
      <c r="E41" s="7"/>
      <c r="F41" s="7" t="s">
        <v>652</v>
      </c>
    </row>
    <row r="42" spans="1:6" x14ac:dyDescent="0.45">
      <c r="A42" s="7" t="s">
        <v>648</v>
      </c>
      <c r="B42" s="7" t="s">
        <v>658</v>
      </c>
      <c r="C42" s="7" t="s">
        <v>650</v>
      </c>
      <c r="D42" s="7" t="s">
        <v>651</v>
      </c>
      <c r="E42" s="7"/>
      <c r="F42" s="7" t="s">
        <v>652</v>
      </c>
    </row>
    <row r="43" spans="1:6" x14ac:dyDescent="0.45">
      <c r="A43" s="7" t="s">
        <v>648</v>
      </c>
      <c r="B43" s="7" t="s">
        <v>659</v>
      </c>
      <c r="C43" s="7" t="s">
        <v>650</v>
      </c>
      <c r="D43" s="7" t="s">
        <v>651</v>
      </c>
      <c r="E43" s="7"/>
      <c r="F43" s="7" t="s">
        <v>652</v>
      </c>
    </row>
    <row r="44" spans="1:6" x14ac:dyDescent="0.45">
      <c r="A44" s="7" t="s">
        <v>648</v>
      </c>
      <c r="B44" s="7" t="s">
        <v>660</v>
      </c>
      <c r="C44" s="7" t="s">
        <v>650</v>
      </c>
      <c r="D44" s="7" t="s">
        <v>651</v>
      </c>
      <c r="E44" s="7"/>
      <c r="F44" s="7" t="s">
        <v>652</v>
      </c>
    </row>
    <row r="45" spans="1:6" x14ac:dyDescent="0.45">
      <c r="A45" s="7" t="s">
        <v>648</v>
      </c>
      <c r="B45" s="7" t="s">
        <v>661</v>
      </c>
      <c r="C45" s="7" t="s">
        <v>650</v>
      </c>
      <c r="D45" s="7" t="s">
        <v>651</v>
      </c>
      <c r="E45" s="7"/>
      <c r="F45" s="7" t="s">
        <v>652</v>
      </c>
    </row>
    <row r="46" spans="1:6" x14ac:dyDescent="0.45">
      <c r="A46" s="7" t="s">
        <v>648</v>
      </c>
      <c r="B46" s="7" t="s">
        <v>662</v>
      </c>
      <c r="C46" s="7" t="s">
        <v>650</v>
      </c>
      <c r="D46" s="7" t="s">
        <v>651</v>
      </c>
      <c r="E46" s="7"/>
      <c r="F46" s="7" t="s">
        <v>652</v>
      </c>
    </row>
    <row r="47" spans="1:6" x14ac:dyDescent="0.45">
      <c r="A47" s="7" t="s">
        <v>648</v>
      </c>
      <c r="B47" s="7" t="s">
        <v>663</v>
      </c>
      <c r="C47" s="7" t="s">
        <v>650</v>
      </c>
      <c r="D47" s="7" t="s">
        <v>651</v>
      </c>
      <c r="E47" s="7"/>
      <c r="F47" s="7" t="s">
        <v>652</v>
      </c>
    </row>
  </sheetData>
  <mergeCells count="2">
    <mergeCell ref="A1:F1"/>
    <mergeCell ref="A2:F2"/>
  </mergeCells>
  <phoneticPr fontId="10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8"/>
  <sheetViews>
    <sheetView workbookViewId="0">
      <selection sqref="A1:E1"/>
    </sheetView>
  </sheetViews>
  <sheetFormatPr defaultRowHeight="14.25" x14ac:dyDescent="0.45"/>
  <cols>
    <col min="1" max="1" width="10" customWidth="1"/>
    <col min="2" max="2" width="58" customWidth="1"/>
    <col min="3" max="3" width="34" customWidth="1"/>
    <col min="4" max="4" width="58" customWidth="1"/>
    <col min="5" max="5" width="22" customWidth="1"/>
  </cols>
  <sheetData>
    <row r="1" spans="1:5" ht="14" customHeight="1" x14ac:dyDescent="0.45">
      <c r="A1" s="8" t="s">
        <v>664</v>
      </c>
      <c r="B1" s="9"/>
      <c r="C1" s="9"/>
      <c r="D1" s="9"/>
      <c r="E1" s="9"/>
    </row>
    <row r="2" spans="1:5" ht="16.05" customHeight="1" x14ac:dyDescent="0.45">
      <c r="A2" s="10" t="s">
        <v>665</v>
      </c>
      <c r="B2" s="9"/>
      <c r="C2" s="9"/>
      <c r="D2" s="9"/>
      <c r="E2" s="9"/>
    </row>
    <row r="4" spans="1:5" ht="18" customHeight="1" x14ac:dyDescent="0.45">
      <c r="A4" s="5" t="s">
        <v>666</v>
      </c>
      <c r="B4" s="5" t="s">
        <v>667</v>
      </c>
      <c r="C4" s="5" t="s">
        <v>668</v>
      </c>
      <c r="D4" s="5" t="s">
        <v>669</v>
      </c>
      <c r="E4" s="5" t="s">
        <v>670</v>
      </c>
    </row>
    <row r="5" spans="1:5" x14ac:dyDescent="0.45">
      <c r="A5" s="7" t="s">
        <v>671</v>
      </c>
      <c r="B5" s="7" t="s">
        <v>672</v>
      </c>
      <c r="C5" s="7" t="s">
        <v>673</v>
      </c>
      <c r="D5" s="7" t="s">
        <v>674</v>
      </c>
      <c r="E5" s="7" t="s">
        <v>675</v>
      </c>
    </row>
    <row r="6" spans="1:5" x14ac:dyDescent="0.45">
      <c r="A6" s="7" t="s">
        <v>676</v>
      </c>
      <c r="B6" s="7" t="s">
        <v>677</v>
      </c>
      <c r="C6" s="7" t="s">
        <v>678</v>
      </c>
      <c r="D6" s="7" t="s">
        <v>679</v>
      </c>
      <c r="E6" s="7" t="s">
        <v>675</v>
      </c>
    </row>
    <row r="7" spans="1:5" x14ac:dyDescent="0.45">
      <c r="A7" s="7" t="s">
        <v>680</v>
      </c>
      <c r="B7" s="7" t="s">
        <v>681</v>
      </c>
      <c r="C7" s="7" t="s">
        <v>622</v>
      </c>
      <c r="D7" s="7" t="s">
        <v>682</v>
      </c>
      <c r="E7" s="7" t="s">
        <v>675</v>
      </c>
    </row>
    <row r="8" spans="1:5" x14ac:dyDescent="0.45">
      <c r="A8" s="7" t="s">
        <v>683</v>
      </c>
      <c r="B8" s="7" t="s">
        <v>684</v>
      </c>
      <c r="C8" s="7" t="s">
        <v>685</v>
      </c>
      <c r="D8" s="7" t="s">
        <v>686</v>
      </c>
      <c r="E8" s="7" t="s">
        <v>675</v>
      </c>
    </row>
    <row r="9" spans="1:5" x14ac:dyDescent="0.45">
      <c r="A9" s="7" t="s">
        <v>687</v>
      </c>
      <c r="B9" s="7" t="s">
        <v>688</v>
      </c>
      <c r="C9" s="7" t="s">
        <v>689</v>
      </c>
      <c r="D9" s="7" t="s">
        <v>690</v>
      </c>
      <c r="E9" s="7" t="s">
        <v>675</v>
      </c>
    </row>
    <row r="10" spans="1:5" x14ac:dyDescent="0.45">
      <c r="A10" s="7" t="s">
        <v>691</v>
      </c>
      <c r="B10" s="7" t="s">
        <v>692</v>
      </c>
      <c r="C10" s="7" t="s">
        <v>693</v>
      </c>
      <c r="D10" s="7" t="s">
        <v>694</v>
      </c>
      <c r="E10" s="7" t="s">
        <v>675</v>
      </c>
    </row>
    <row r="11" spans="1:5" x14ac:dyDescent="0.45">
      <c r="A11" s="7" t="s">
        <v>695</v>
      </c>
      <c r="B11" s="7" t="s">
        <v>696</v>
      </c>
      <c r="C11" s="7" t="s">
        <v>693</v>
      </c>
      <c r="D11" s="7" t="s">
        <v>697</v>
      </c>
      <c r="E11" s="7" t="s">
        <v>675</v>
      </c>
    </row>
    <row r="12" spans="1:5" x14ac:dyDescent="0.45">
      <c r="A12" s="7" t="s">
        <v>698</v>
      </c>
      <c r="B12" s="7" t="s">
        <v>699</v>
      </c>
      <c r="C12" s="7" t="s">
        <v>693</v>
      </c>
      <c r="D12" s="7" t="s">
        <v>700</v>
      </c>
      <c r="E12" s="7" t="s">
        <v>675</v>
      </c>
    </row>
    <row r="13" spans="1:5" x14ac:dyDescent="0.45">
      <c r="A13" s="7" t="s">
        <v>701</v>
      </c>
      <c r="B13" s="7" t="s">
        <v>702</v>
      </c>
      <c r="C13" s="7" t="s">
        <v>693</v>
      </c>
      <c r="D13" s="7" t="s">
        <v>703</v>
      </c>
      <c r="E13" s="7" t="s">
        <v>675</v>
      </c>
    </row>
    <row r="14" spans="1:5" x14ac:dyDescent="0.45">
      <c r="A14" s="7" t="s">
        <v>704</v>
      </c>
      <c r="B14" s="7" t="s">
        <v>705</v>
      </c>
      <c r="C14" s="7" t="s">
        <v>693</v>
      </c>
      <c r="D14" s="7" t="s">
        <v>706</v>
      </c>
      <c r="E14" s="7" t="s">
        <v>675</v>
      </c>
    </row>
    <row r="15" spans="1:5" x14ac:dyDescent="0.45">
      <c r="A15" s="7" t="s">
        <v>707</v>
      </c>
      <c r="B15" s="7" t="s">
        <v>708</v>
      </c>
      <c r="C15" s="7" t="s">
        <v>693</v>
      </c>
      <c r="D15" s="7" t="s">
        <v>709</v>
      </c>
      <c r="E15" s="7" t="s">
        <v>675</v>
      </c>
    </row>
    <row r="16" spans="1:5" x14ac:dyDescent="0.45">
      <c r="A16" s="7" t="s">
        <v>710</v>
      </c>
      <c r="B16" s="7" t="s">
        <v>711</v>
      </c>
      <c r="C16" s="7" t="s">
        <v>693</v>
      </c>
      <c r="D16" s="7" t="s">
        <v>712</v>
      </c>
      <c r="E16" s="7" t="s">
        <v>675</v>
      </c>
    </row>
    <row r="17" spans="1:5" x14ac:dyDescent="0.45">
      <c r="A17" s="7" t="s">
        <v>713</v>
      </c>
      <c r="B17" s="7" t="s">
        <v>714</v>
      </c>
      <c r="C17" s="7" t="s">
        <v>715</v>
      </c>
      <c r="D17" s="7" t="s">
        <v>716</v>
      </c>
      <c r="E17" s="7" t="s">
        <v>675</v>
      </c>
    </row>
    <row r="18" spans="1:5" x14ac:dyDescent="0.45">
      <c r="A18" s="7" t="s">
        <v>717</v>
      </c>
      <c r="B18" s="7" t="s">
        <v>718</v>
      </c>
      <c r="C18" s="7" t="s">
        <v>719</v>
      </c>
      <c r="D18" s="7" t="s">
        <v>720</v>
      </c>
      <c r="E18" s="7" t="s">
        <v>675</v>
      </c>
    </row>
    <row r="19" spans="1:5" x14ac:dyDescent="0.45">
      <c r="A19" s="7" t="s">
        <v>721</v>
      </c>
      <c r="B19" s="7" t="s">
        <v>722</v>
      </c>
      <c r="C19" s="7" t="s">
        <v>723</v>
      </c>
      <c r="D19" s="7" t="s">
        <v>724</v>
      </c>
      <c r="E19" s="7" t="s">
        <v>675</v>
      </c>
    </row>
    <row r="20" spans="1:5" x14ac:dyDescent="0.45">
      <c r="A20" s="7" t="s">
        <v>725</v>
      </c>
      <c r="B20" s="7" t="s">
        <v>726</v>
      </c>
      <c r="C20" s="7" t="s">
        <v>727</v>
      </c>
      <c r="D20" s="7" t="s">
        <v>728</v>
      </c>
      <c r="E20" s="7" t="s">
        <v>675</v>
      </c>
    </row>
    <row r="21" spans="1:5" x14ac:dyDescent="0.45">
      <c r="A21" s="7" t="s">
        <v>729</v>
      </c>
      <c r="B21" s="7" t="s">
        <v>730</v>
      </c>
      <c r="C21" s="7" t="s">
        <v>731</v>
      </c>
      <c r="D21" s="7" t="s">
        <v>732</v>
      </c>
      <c r="E21" s="7" t="s">
        <v>675</v>
      </c>
    </row>
    <row r="22" spans="1:5" x14ac:dyDescent="0.45">
      <c r="A22" s="7" t="s">
        <v>733</v>
      </c>
      <c r="B22" s="7" t="s">
        <v>734</v>
      </c>
      <c r="C22" s="7" t="s">
        <v>735</v>
      </c>
      <c r="D22" s="7" t="s">
        <v>736</v>
      </c>
      <c r="E22" s="7" t="s">
        <v>675</v>
      </c>
    </row>
    <row r="23" spans="1:5" x14ac:dyDescent="0.45">
      <c r="A23" s="7" t="s">
        <v>737</v>
      </c>
      <c r="B23" s="7" t="s">
        <v>738</v>
      </c>
      <c r="C23" s="7" t="s">
        <v>739</v>
      </c>
      <c r="D23" s="7" t="s">
        <v>740</v>
      </c>
      <c r="E23" s="7" t="s">
        <v>675</v>
      </c>
    </row>
    <row r="24" spans="1:5" x14ac:dyDescent="0.45">
      <c r="A24" s="7" t="s">
        <v>741</v>
      </c>
      <c r="B24" s="7" t="s">
        <v>742</v>
      </c>
      <c r="C24" s="7" t="s">
        <v>628</v>
      </c>
      <c r="D24" s="7" t="s">
        <v>743</v>
      </c>
      <c r="E24" s="7" t="s">
        <v>675</v>
      </c>
    </row>
    <row r="25" spans="1:5" x14ac:dyDescent="0.45">
      <c r="A25" s="7" t="s">
        <v>744</v>
      </c>
      <c r="B25" s="7" t="s">
        <v>745</v>
      </c>
      <c r="C25" s="7" t="s">
        <v>625</v>
      </c>
      <c r="D25" s="7" t="s">
        <v>746</v>
      </c>
      <c r="E25" s="7" t="s">
        <v>675</v>
      </c>
    </row>
    <row r="26" spans="1:5" x14ac:dyDescent="0.45">
      <c r="A26" s="7" t="s">
        <v>747</v>
      </c>
      <c r="B26" s="7" t="s">
        <v>748</v>
      </c>
      <c r="C26" s="7" t="s">
        <v>749</v>
      </c>
      <c r="D26" s="7" t="s">
        <v>750</v>
      </c>
      <c r="E26" s="7" t="s">
        <v>675</v>
      </c>
    </row>
    <row r="27" spans="1:5" x14ac:dyDescent="0.45">
      <c r="A27" s="7" t="s">
        <v>751</v>
      </c>
      <c r="B27" s="7" t="s">
        <v>752</v>
      </c>
      <c r="C27" s="7" t="s">
        <v>753</v>
      </c>
      <c r="D27" s="7" t="s">
        <v>754</v>
      </c>
      <c r="E27" s="7" t="s">
        <v>675</v>
      </c>
    </row>
    <row r="28" spans="1:5" ht="23.25" x14ac:dyDescent="0.45">
      <c r="A28" s="7" t="s">
        <v>755</v>
      </c>
      <c r="B28" s="7" t="s">
        <v>756</v>
      </c>
      <c r="C28" s="7" t="s">
        <v>757</v>
      </c>
      <c r="D28" s="7" t="s">
        <v>758</v>
      </c>
      <c r="E28" s="7" t="s">
        <v>675</v>
      </c>
    </row>
    <row r="29" spans="1:5" x14ac:dyDescent="0.45">
      <c r="A29" s="7" t="s">
        <v>759</v>
      </c>
      <c r="B29" s="7" t="s">
        <v>760</v>
      </c>
      <c r="C29" s="7" t="s">
        <v>761</v>
      </c>
      <c r="D29" s="7" t="s">
        <v>762</v>
      </c>
      <c r="E29" s="7" t="s">
        <v>763</v>
      </c>
    </row>
    <row r="30" spans="1:5" x14ac:dyDescent="0.45">
      <c r="A30" s="7" t="s">
        <v>764</v>
      </c>
      <c r="B30" s="7" t="s">
        <v>765</v>
      </c>
      <c r="C30" s="7" t="s">
        <v>766</v>
      </c>
      <c r="D30" s="7" t="s">
        <v>767</v>
      </c>
      <c r="E30" s="7" t="s">
        <v>763</v>
      </c>
    </row>
    <row r="31" spans="1:5" x14ac:dyDescent="0.45">
      <c r="A31" s="7" t="s">
        <v>768</v>
      </c>
      <c r="B31" s="7" t="s">
        <v>769</v>
      </c>
      <c r="C31" s="7" t="s">
        <v>770</v>
      </c>
      <c r="D31" s="7" t="s">
        <v>771</v>
      </c>
      <c r="E31" s="7" t="s">
        <v>763</v>
      </c>
    </row>
    <row r="32" spans="1:5" ht="23.25" x14ac:dyDescent="0.45">
      <c r="A32" s="7" t="s">
        <v>772</v>
      </c>
      <c r="B32" s="7" t="s">
        <v>773</v>
      </c>
      <c r="C32" s="7" t="s">
        <v>766</v>
      </c>
      <c r="D32" s="7" t="s">
        <v>774</v>
      </c>
      <c r="E32" s="7" t="s">
        <v>763</v>
      </c>
    </row>
    <row r="33" spans="1:5" ht="23.25" x14ac:dyDescent="0.45">
      <c r="A33" s="7" t="s">
        <v>775</v>
      </c>
      <c r="B33" s="7" t="s">
        <v>776</v>
      </c>
      <c r="C33" s="7" t="s">
        <v>770</v>
      </c>
      <c r="D33" s="7" t="s">
        <v>777</v>
      </c>
      <c r="E33" s="7" t="s">
        <v>763</v>
      </c>
    </row>
    <row r="34" spans="1:5" x14ac:dyDescent="0.45">
      <c r="A34" s="7" t="s">
        <v>778</v>
      </c>
      <c r="B34" s="7" t="s">
        <v>779</v>
      </c>
      <c r="C34" s="7" t="s">
        <v>780</v>
      </c>
      <c r="D34" s="7" t="s">
        <v>781</v>
      </c>
      <c r="E34" s="7" t="s">
        <v>763</v>
      </c>
    </row>
    <row r="35" spans="1:5" x14ac:dyDescent="0.45">
      <c r="A35" s="7" t="s">
        <v>782</v>
      </c>
      <c r="B35" s="7" t="s">
        <v>783</v>
      </c>
      <c r="C35" s="7" t="s">
        <v>784</v>
      </c>
      <c r="D35" s="7" t="s">
        <v>785</v>
      </c>
      <c r="E35" s="7" t="s">
        <v>763</v>
      </c>
    </row>
    <row r="36" spans="1:5" x14ac:dyDescent="0.45">
      <c r="A36" s="7" t="s">
        <v>786</v>
      </c>
      <c r="B36" s="7" t="s">
        <v>787</v>
      </c>
      <c r="C36" s="7" t="s">
        <v>788</v>
      </c>
      <c r="D36" s="7" t="s">
        <v>789</v>
      </c>
      <c r="E36" s="7" t="s">
        <v>763</v>
      </c>
    </row>
    <row r="37" spans="1:5" x14ac:dyDescent="0.45">
      <c r="A37" s="7" t="s">
        <v>790</v>
      </c>
      <c r="B37" s="7" t="s">
        <v>791</v>
      </c>
      <c r="C37" s="7" t="s">
        <v>792</v>
      </c>
      <c r="D37" s="7" t="s">
        <v>793</v>
      </c>
      <c r="E37" s="7" t="s">
        <v>763</v>
      </c>
    </row>
    <row r="38" spans="1:5" x14ac:dyDescent="0.45">
      <c r="A38" s="7" t="s">
        <v>794</v>
      </c>
      <c r="B38" s="7" t="s">
        <v>795</v>
      </c>
      <c r="C38" s="7" t="s">
        <v>796</v>
      </c>
      <c r="D38" s="7" t="s">
        <v>797</v>
      </c>
      <c r="E38" s="7" t="s">
        <v>763</v>
      </c>
    </row>
    <row r="39" spans="1:5" x14ac:dyDescent="0.45">
      <c r="A39" s="7" t="s">
        <v>798</v>
      </c>
      <c r="B39" s="7" t="s">
        <v>799</v>
      </c>
      <c r="C39" s="7" t="s">
        <v>800</v>
      </c>
      <c r="D39" s="7" t="s">
        <v>801</v>
      </c>
      <c r="E39" s="7" t="s">
        <v>763</v>
      </c>
    </row>
    <row r="40" spans="1:5" x14ac:dyDescent="0.45">
      <c r="A40" s="7" t="s">
        <v>802</v>
      </c>
      <c r="B40" s="7" t="s">
        <v>803</v>
      </c>
      <c r="C40" s="7" t="s">
        <v>804</v>
      </c>
      <c r="D40" s="7" t="s">
        <v>805</v>
      </c>
      <c r="E40" s="7" t="s">
        <v>763</v>
      </c>
    </row>
    <row r="41" spans="1:5" x14ac:dyDescent="0.45">
      <c r="A41" s="7" t="s">
        <v>806</v>
      </c>
      <c r="B41" s="7" t="s">
        <v>807</v>
      </c>
      <c r="C41" s="7" t="s">
        <v>808</v>
      </c>
      <c r="D41" s="7" t="s">
        <v>809</v>
      </c>
      <c r="E41" s="7" t="s">
        <v>763</v>
      </c>
    </row>
    <row r="42" spans="1:5" x14ac:dyDescent="0.45">
      <c r="A42" s="7" t="s">
        <v>810</v>
      </c>
      <c r="B42" s="7" t="s">
        <v>811</v>
      </c>
      <c r="C42" s="7" t="s">
        <v>812</v>
      </c>
      <c r="D42" s="7" t="s">
        <v>813</v>
      </c>
      <c r="E42" s="7" t="s">
        <v>763</v>
      </c>
    </row>
    <row r="43" spans="1:5" x14ac:dyDescent="0.45">
      <c r="A43" s="7" t="s">
        <v>814</v>
      </c>
      <c r="B43" s="7" t="s">
        <v>815</v>
      </c>
      <c r="C43" s="7" t="s">
        <v>816</v>
      </c>
      <c r="D43" s="7" t="s">
        <v>817</v>
      </c>
      <c r="E43" s="7" t="s">
        <v>763</v>
      </c>
    </row>
    <row r="44" spans="1:5" ht="23.25" x14ac:dyDescent="0.45">
      <c r="A44" s="7" t="s">
        <v>818</v>
      </c>
      <c r="B44" s="7" t="s">
        <v>819</v>
      </c>
      <c r="C44" s="7" t="s">
        <v>766</v>
      </c>
      <c r="D44" s="7" t="s">
        <v>820</v>
      </c>
      <c r="E44" s="7" t="s">
        <v>763</v>
      </c>
    </row>
    <row r="45" spans="1:5" x14ac:dyDescent="0.45">
      <c r="A45" s="7" t="s">
        <v>821</v>
      </c>
      <c r="B45" s="7" t="s">
        <v>822</v>
      </c>
      <c r="C45" s="7" t="s">
        <v>770</v>
      </c>
      <c r="D45" s="7" t="s">
        <v>823</v>
      </c>
      <c r="E45" s="7" t="s">
        <v>763</v>
      </c>
    </row>
    <row r="46" spans="1:5" x14ac:dyDescent="0.45">
      <c r="A46" s="7" t="s">
        <v>824</v>
      </c>
      <c r="B46" s="7" t="s">
        <v>825</v>
      </c>
      <c r="C46" s="7" t="s">
        <v>826</v>
      </c>
      <c r="D46" s="7" t="s">
        <v>827</v>
      </c>
      <c r="E46" s="7" t="s">
        <v>763</v>
      </c>
    </row>
    <row r="47" spans="1:5" x14ac:dyDescent="0.45">
      <c r="A47" s="7" t="s">
        <v>828</v>
      </c>
      <c r="B47" s="7" t="s">
        <v>829</v>
      </c>
      <c r="C47" s="7" t="s">
        <v>830</v>
      </c>
      <c r="D47" s="7" t="s">
        <v>831</v>
      </c>
      <c r="E47" s="7" t="s">
        <v>763</v>
      </c>
    </row>
    <row r="48" spans="1:5" x14ac:dyDescent="0.45">
      <c r="A48" s="7" t="s">
        <v>832</v>
      </c>
      <c r="B48" s="7" t="s">
        <v>833</v>
      </c>
      <c r="C48" s="7" t="s">
        <v>766</v>
      </c>
      <c r="D48" s="7" t="s">
        <v>834</v>
      </c>
      <c r="E48" s="7" t="s">
        <v>763</v>
      </c>
    </row>
    <row r="49" spans="1:5" x14ac:dyDescent="0.45">
      <c r="A49" s="7" t="s">
        <v>835</v>
      </c>
      <c r="B49" s="7" t="s">
        <v>836</v>
      </c>
      <c r="C49" s="7" t="s">
        <v>770</v>
      </c>
      <c r="D49" s="7" t="s">
        <v>837</v>
      </c>
      <c r="E49" s="7" t="s">
        <v>763</v>
      </c>
    </row>
    <row r="50" spans="1:5" x14ac:dyDescent="0.45">
      <c r="A50" s="7" t="s">
        <v>838</v>
      </c>
      <c r="B50" s="7" t="s">
        <v>839</v>
      </c>
      <c r="C50" s="7" t="s">
        <v>840</v>
      </c>
      <c r="D50" s="7" t="s">
        <v>841</v>
      </c>
      <c r="E50" s="7" t="s">
        <v>842</v>
      </c>
    </row>
    <row r="51" spans="1:5" x14ac:dyDescent="0.45">
      <c r="A51" s="7" t="s">
        <v>843</v>
      </c>
      <c r="B51" s="7" t="s">
        <v>844</v>
      </c>
      <c r="C51" s="7" t="s">
        <v>845</v>
      </c>
      <c r="D51" s="7" t="s">
        <v>846</v>
      </c>
      <c r="E51" s="7" t="s">
        <v>842</v>
      </c>
    </row>
    <row r="52" spans="1:5" x14ac:dyDescent="0.45">
      <c r="A52" s="7" t="s">
        <v>847</v>
      </c>
      <c r="B52" s="7" t="s">
        <v>848</v>
      </c>
      <c r="C52" s="7" t="s">
        <v>849</v>
      </c>
      <c r="D52" s="7" t="s">
        <v>850</v>
      </c>
      <c r="E52" s="7" t="s">
        <v>842</v>
      </c>
    </row>
    <row r="53" spans="1:5" x14ac:dyDescent="0.45">
      <c r="A53" s="7" t="s">
        <v>851</v>
      </c>
      <c r="B53" s="7" t="s">
        <v>852</v>
      </c>
      <c r="C53" s="7" t="s">
        <v>853</v>
      </c>
      <c r="D53" s="7" t="s">
        <v>854</v>
      </c>
      <c r="E53" s="7" t="s">
        <v>842</v>
      </c>
    </row>
    <row r="54" spans="1:5" x14ac:dyDescent="0.45">
      <c r="A54" s="7" t="s">
        <v>855</v>
      </c>
      <c r="B54" s="7" t="s">
        <v>856</v>
      </c>
      <c r="C54" s="7" t="s">
        <v>857</v>
      </c>
      <c r="D54" s="7" t="s">
        <v>858</v>
      </c>
      <c r="E54" s="7" t="s">
        <v>842</v>
      </c>
    </row>
    <row r="55" spans="1:5" x14ac:dyDescent="0.45">
      <c r="A55" s="7" t="s">
        <v>859</v>
      </c>
      <c r="B55" s="7" t="s">
        <v>860</v>
      </c>
      <c r="C55" s="7" t="s">
        <v>861</v>
      </c>
      <c r="D55" s="7" t="s">
        <v>862</v>
      </c>
      <c r="E55" s="7" t="s">
        <v>842</v>
      </c>
    </row>
    <row r="56" spans="1:5" x14ac:dyDescent="0.45">
      <c r="A56" s="7" t="s">
        <v>863</v>
      </c>
      <c r="B56" s="7" t="s">
        <v>864</v>
      </c>
      <c r="C56" s="7" t="s">
        <v>865</v>
      </c>
      <c r="D56" s="7" t="s">
        <v>866</v>
      </c>
      <c r="E56" s="7" t="s">
        <v>842</v>
      </c>
    </row>
    <row r="57" spans="1:5" x14ac:dyDescent="0.45">
      <c r="A57" s="7" t="s">
        <v>867</v>
      </c>
      <c r="B57" s="7" t="s">
        <v>868</v>
      </c>
      <c r="C57" s="7" t="s">
        <v>865</v>
      </c>
      <c r="D57" s="7" t="s">
        <v>869</v>
      </c>
      <c r="E57" s="7" t="s">
        <v>842</v>
      </c>
    </row>
    <row r="58" spans="1:5" x14ac:dyDescent="0.45">
      <c r="A58" s="7" t="s">
        <v>870</v>
      </c>
      <c r="B58" s="7" t="s">
        <v>871</v>
      </c>
      <c r="C58" s="7" t="s">
        <v>872</v>
      </c>
      <c r="D58" s="7" t="s">
        <v>873</v>
      </c>
      <c r="E58" s="7" t="s">
        <v>842</v>
      </c>
    </row>
  </sheetData>
  <mergeCells count="2">
    <mergeCell ref="A1:E1"/>
    <mergeCell ref="A2:E2"/>
  </mergeCells>
  <phoneticPr fontId="10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>
      <selection sqref="A1:E1"/>
    </sheetView>
  </sheetViews>
  <sheetFormatPr defaultRowHeight="14.25" x14ac:dyDescent="0.45"/>
  <cols>
    <col min="1" max="1" width="22" customWidth="1"/>
    <col min="2" max="2" width="24" customWidth="1"/>
    <col min="3" max="3" width="34" customWidth="1"/>
    <col min="4" max="4" width="58" customWidth="1"/>
    <col min="5" max="5" width="54" customWidth="1"/>
  </cols>
  <sheetData>
    <row r="1" spans="1:5" ht="14" customHeight="1" x14ac:dyDescent="0.45">
      <c r="A1" s="8" t="s">
        <v>874</v>
      </c>
      <c r="B1" s="9"/>
      <c r="C1" s="9"/>
      <c r="D1" s="9"/>
      <c r="E1" s="9"/>
    </row>
    <row r="2" spans="1:5" ht="16.05" customHeight="1" x14ac:dyDescent="0.45">
      <c r="A2" s="10" t="s">
        <v>875</v>
      </c>
      <c r="B2" s="9"/>
      <c r="C2" s="9"/>
      <c r="D2" s="9"/>
      <c r="E2" s="9"/>
    </row>
    <row r="4" spans="1:5" ht="18" customHeight="1" x14ac:dyDescent="0.45">
      <c r="A4" s="5" t="s">
        <v>876</v>
      </c>
      <c r="B4" s="5" t="s">
        <v>877</v>
      </c>
      <c r="C4" s="5" t="s">
        <v>304</v>
      </c>
      <c r="D4" s="5" t="s">
        <v>878</v>
      </c>
      <c r="E4" s="5" t="s">
        <v>7</v>
      </c>
    </row>
    <row r="5" spans="1:5" x14ac:dyDescent="0.45">
      <c r="A5" s="7" t="s">
        <v>879</v>
      </c>
      <c r="B5" s="7" t="s">
        <v>10</v>
      </c>
      <c r="C5" s="7" t="s">
        <v>11</v>
      </c>
      <c r="D5" s="7" t="s">
        <v>880</v>
      </c>
      <c r="E5" s="7" t="s">
        <v>881</v>
      </c>
    </row>
    <row r="6" spans="1:5" x14ac:dyDescent="0.45">
      <c r="A6" s="7" t="s">
        <v>879</v>
      </c>
      <c r="B6" s="7" t="s">
        <v>15</v>
      </c>
      <c r="C6" s="7" t="s">
        <v>16</v>
      </c>
      <c r="D6" s="7" t="s">
        <v>880</v>
      </c>
      <c r="E6" s="7" t="s">
        <v>882</v>
      </c>
    </row>
    <row r="7" spans="1:5" x14ac:dyDescent="0.45">
      <c r="A7" s="7" t="s">
        <v>879</v>
      </c>
      <c r="B7" s="7" t="s">
        <v>20</v>
      </c>
      <c r="C7" s="7" t="s">
        <v>21</v>
      </c>
      <c r="D7" s="7" t="s">
        <v>883</v>
      </c>
      <c r="E7" s="7" t="s">
        <v>884</v>
      </c>
    </row>
    <row r="8" spans="1:5" x14ac:dyDescent="0.45">
      <c r="A8" s="7" t="s">
        <v>331</v>
      </c>
      <c r="B8" s="7" t="s">
        <v>885</v>
      </c>
      <c r="C8" s="7" t="s">
        <v>886</v>
      </c>
      <c r="D8" s="7" t="s">
        <v>887</v>
      </c>
      <c r="E8" s="7" t="s">
        <v>888</v>
      </c>
    </row>
    <row r="9" spans="1:5" x14ac:dyDescent="0.45">
      <c r="A9" s="7" t="s">
        <v>331</v>
      </c>
      <c r="B9" s="7" t="s">
        <v>889</v>
      </c>
      <c r="C9" s="7" t="s">
        <v>890</v>
      </c>
      <c r="D9" s="7" t="s">
        <v>891</v>
      </c>
      <c r="E9" s="7" t="s">
        <v>892</v>
      </c>
    </row>
    <row r="10" spans="1:5" x14ac:dyDescent="0.45">
      <c r="A10" s="7" t="s">
        <v>331</v>
      </c>
      <c r="B10" s="7" t="s">
        <v>109</v>
      </c>
      <c r="C10" s="7" t="s">
        <v>79</v>
      </c>
      <c r="D10" s="7" t="s">
        <v>893</v>
      </c>
      <c r="E10" s="7" t="s">
        <v>894</v>
      </c>
    </row>
    <row r="11" spans="1:5" x14ac:dyDescent="0.45">
      <c r="A11" s="7" t="s">
        <v>331</v>
      </c>
      <c r="B11" s="7" t="s">
        <v>895</v>
      </c>
      <c r="C11" s="7" t="s">
        <v>896</v>
      </c>
      <c r="D11" s="7" t="s">
        <v>897</v>
      </c>
      <c r="E11" s="7" t="s">
        <v>898</v>
      </c>
    </row>
    <row r="12" spans="1:5" x14ac:dyDescent="0.45">
      <c r="A12" s="7" t="s">
        <v>394</v>
      </c>
      <c r="B12" s="7" t="s">
        <v>133</v>
      </c>
      <c r="C12" s="7" t="s">
        <v>103</v>
      </c>
      <c r="D12" s="7" t="s">
        <v>899</v>
      </c>
      <c r="E12" s="7" t="s">
        <v>900</v>
      </c>
    </row>
    <row r="13" spans="1:5" x14ac:dyDescent="0.45">
      <c r="A13" s="7" t="s">
        <v>394</v>
      </c>
      <c r="B13" s="7" t="s">
        <v>182</v>
      </c>
      <c r="C13" s="7" t="s">
        <v>169</v>
      </c>
      <c r="D13" s="7" t="s">
        <v>901</v>
      </c>
      <c r="E13" s="7" t="s">
        <v>902</v>
      </c>
    </row>
    <row r="14" spans="1:5" x14ac:dyDescent="0.45">
      <c r="A14" s="7" t="s">
        <v>448</v>
      </c>
      <c r="B14" s="7" t="s">
        <v>903</v>
      </c>
      <c r="C14" s="7" t="s">
        <v>904</v>
      </c>
      <c r="D14" s="7" t="s">
        <v>905</v>
      </c>
      <c r="E14" s="7" t="s">
        <v>906</v>
      </c>
    </row>
    <row r="15" spans="1:5" x14ac:dyDescent="0.45">
      <c r="A15" s="7" t="s">
        <v>448</v>
      </c>
      <c r="B15" s="7" t="s">
        <v>246</v>
      </c>
      <c r="C15" s="7" t="s">
        <v>234</v>
      </c>
      <c r="D15" s="7" t="s">
        <v>907</v>
      </c>
      <c r="E15" s="7" t="s">
        <v>908</v>
      </c>
    </row>
    <row r="16" spans="1:5" x14ac:dyDescent="0.45">
      <c r="A16" s="7" t="s">
        <v>448</v>
      </c>
      <c r="B16" s="7" t="s">
        <v>242</v>
      </c>
      <c r="C16" s="7" t="s">
        <v>909</v>
      </c>
      <c r="D16" s="7" t="s">
        <v>910</v>
      </c>
      <c r="E16" s="7" t="s">
        <v>911</v>
      </c>
    </row>
    <row r="17" spans="1:5" x14ac:dyDescent="0.45">
      <c r="A17" s="7" t="s">
        <v>520</v>
      </c>
      <c r="B17" s="7" t="s">
        <v>134</v>
      </c>
      <c r="C17" s="7" t="s">
        <v>912</v>
      </c>
      <c r="D17" s="7" t="s">
        <v>913</v>
      </c>
      <c r="E17" s="7" t="s">
        <v>914</v>
      </c>
    </row>
    <row r="18" spans="1:5" x14ac:dyDescent="0.45">
      <c r="A18" s="7" t="s">
        <v>520</v>
      </c>
      <c r="B18" s="7" t="s">
        <v>286</v>
      </c>
      <c r="C18" s="7" t="s">
        <v>915</v>
      </c>
      <c r="D18" s="7" t="s">
        <v>916</v>
      </c>
      <c r="E18" s="7" t="s">
        <v>917</v>
      </c>
    </row>
    <row r="19" spans="1:5" x14ac:dyDescent="0.45">
      <c r="A19" s="7" t="s">
        <v>515</v>
      </c>
      <c r="B19" s="7" t="s">
        <v>297</v>
      </c>
      <c r="C19" s="7" t="s">
        <v>918</v>
      </c>
      <c r="D19" s="7" t="s">
        <v>919</v>
      </c>
      <c r="E19" s="7" t="s">
        <v>920</v>
      </c>
    </row>
    <row r="20" spans="1:5" x14ac:dyDescent="0.45">
      <c r="A20" s="7" t="s">
        <v>921</v>
      </c>
      <c r="B20" s="7" t="s">
        <v>922</v>
      </c>
      <c r="C20" s="7" t="s">
        <v>923</v>
      </c>
      <c r="D20" s="7" t="s">
        <v>924</v>
      </c>
      <c r="E20" s="7" t="s">
        <v>925</v>
      </c>
    </row>
  </sheetData>
  <mergeCells count="2">
    <mergeCell ref="A1:E1"/>
    <mergeCell ref="A2:E2"/>
  </mergeCells>
  <phoneticPr fontId="10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00_填写说明</vt:lpstr>
      <vt:lpstr>01_产品基本信息</vt:lpstr>
      <vt:lpstr>02_制造商信息</vt:lpstr>
      <vt:lpstr>03_实验室与测试报告</vt:lpstr>
      <vt:lpstr>04_联系人POC</vt:lpstr>
      <vt:lpstr>05_法规豁免</vt:lpstr>
      <vt:lpstr>06_字段字典_设定提示</vt:lpstr>
      <vt:lpstr>07_下拉选项</vt:lpstr>
      <vt:lpstr>08_错误码速查</vt:lpstr>
      <vt:lpstr>09_JSON映射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modified xsi:type="dcterms:W3CDTF">2026-06-19T15:55:32Z</dcterms:modified>
</cp:coreProperties>
</file>